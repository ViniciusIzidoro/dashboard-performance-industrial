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Área de Trabalho\"/>
    </mc:Choice>
  </mc:AlternateContent>
  <xr:revisionPtr revIDLastSave="0" documentId="8_{6C62781A-78A9-4632-8CC0-3D8BF5611D34}" xr6:coauthVersionLast="47" xr6:coauthVersionMax="47" xr10:uidLastSave="{00000000-0000-0000-0000-000000000000}"/>
  <bookViews>
    <workbookView xWindow="-120" yWindow="-120" windowWidth="20730" windowHeight="11760" tabRatio="702" activeTab="4" xr2:uid="{7F97642C-79FB-4DDA-B6DC-B0C3FF8B0C46}"/>
  </bookViews>
  <sheets>
    <sheet name="fact_producao" sheetId="1" r:id="rId1"/>
    <sheet name="fact_paradas" sheetId="8" r:id="rId2"/>
    <sheet name="dim_Paradas" sheetId="3" r:id="rId3"/>
    <sheet name="dim_Linhas" sheetId="2" r:id="rId4"/>
    <sheet name="KPIs_Calculados" sheetId="9" r:id="rId5"/>
    <sheet name="ANALISES" sheetId="5" r:id="rId6"/>
    <sheet name="DASHBOARD" sheetId="6" r:id="rId7"/>
  </sheets>
  <definedNames>
    <definedName name="_xlcn.WorksheetConnection_Pasta1dim_Linhas1" hidden="1">dim_Linhas[]</definedName>
    <definedName name="_xlcn.WorksheetConnection_Pasta1dim_Paradas1" hidden="1">dim_Paradas[]</definedName>
    <definedName name="_xlcn.WorksheetConnection_Pasta1fact_producao1" hidden="1">fact_producao[]</definedName>
    <definedName name="_xlcn.WorksheetConnection_ProjetoExcel.xlsxfact_paradas1" hidden="1">fact_paradas[]</definedName>
    <definedName name="_xlcn.WorksheetConnection_ProjetoExcel.xlsxKpis_Calculados1" hidden="1">Kpis_Calculados[]</definedName>
    <definedName name="DadosExternos_1" localSheetId="1" hidden="1">fact_paradas!$A$1:$D$3</definedName>
    <definedName name="SegmentaçãodeDados_ID_Linha">#N/A</definedName>
  </definedNames>
  <calcPr calcId="191029"/>
  <pivotCaches>
    <pivotCache cacheId="2079" r:id="rId8"/>
    <pivotCache cacheId="2082" r:id="rId9"/>
    <pivotCache cacheId="2085" r:id="rId10"/>
    <pivotCache cacheId="2088" r:id="rId11"/>
  </pivotCaches>
  <extLst>
    <ext xmlns:x14="http://schemas.microsoft.com/office/spreadsheetml/2009/9/main" uri="{876F7934-8845-4945-9796-88D515C7AA90}">
      <x14:pivotCaches>
        <pivotCache cacheId="899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paradas" name="fact_paradas" connection="WorksheetConnection_Projeto Excel.xlsx!fact_paradas"/>
          <x15:modelTable id="fact_producao" name="fact_producao" connection="WorksheetConnection_Pasta1!fact_producao"/>
          <x15:modelTable id="dim_Paradas" name="dim_Paradas" connection="WorksheetConnection_Pasta1!dim_Paradas"/>
          <x15:modelTable id="dim_Linhas" name="dim_Linhas" connection="WorksheetConnection_Pasta1!dim_Linhas"/>
          <x15:modelTable id="Kpis_Calculados" name="Kpis_Calculados" connection="WorksheetConnection_Projeto Excel.xlsx!Kpis_Calculados"/>
        </x15:modelTables>
        <x15:modelRelationships>
          <x15:modelRelationship fromTable="fact_producao" fromColumn="ID_Linha" toTable="dim_Linhas" toColumn="ID_Linha"/>
          <x15:modelRelationship fromTable="fact_paradas" fromColumn="ID_Linha" toTable="dim_Linhas" toColumn="ID_Linha"/>
          <x15:modelRelationship fromTable="fact_paradas" fromColumn="ID_Motivo_Parada" toTable="dim_Paradas" toColumn="ID_Motivo_Parada"/>
          <x15:modelRelationship fromTable="Kpis_Calculados" fromColumn="ID_Linha" toTable="dim_Linhas" toColumn="ID_Lin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5" l="1" a="1"/>
  <c r="Z3" i="5"/>
  <c r="D2" i="9"/>
  <c r="D3" i="9"/>
  <c r="D4" i="9"/>
  <c r="D5" i="9"/>
  <c r="D6" i="9"/>
  <c r="C2" i="9"/>
  <c r="C3" i="9"/>
  <c r="C4" i="9"/>
  <c r="C5" i="9"/>
  <c r="C6" i="9"/>
  <c r="B2" i="9"/>
  <c r="B3" i="9"/>
  <c r="B4" i="9"/>
  <c r="B5" i="9"/>
  <c r="B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B7F56-FFAE-4AE7-9715-CAD75D4B586E}" keepAlive="1" name="Consulta - dim_Linhas" description="Conexão com a consulta 'dim_Linhas' na pasta de trabalho." type="5" refreshedVersion="0" background="1">
    <dbPr connection="Provider=Microsoft.Mashup.OleDb.1;Data Source=$Workbook$;Location=dim_Linhas;Extended Properties=&quot;&quot;" command="SELECT * FROM [dim_Linhas]"/>
  </connection>
  <connection id="2" xr16:uid="{DFACE8E8-BBD5-4D65-8B53-1E2A023BE822}" keepAlive="1" name="Consulta - dim_Paradas" description="Conexão com a consulta 'dim_Paradas' na pasta de trabalho." type="5" refreshedVersion="0" background="1">
    <dbPr connection="Provider=Microsoft.Mashup.OleDb.1;Data Source=$Workbook$;Location=dim_Paradas;Extended Properties=&quot;&quot;" command="SELECT * FROM [dim_Paradas]"/>
  </connection>
  <connection id="3" xr16:uid="{129FA257-B689-4427-9958-1402B9D2A476}" keepAlive="1" name="Consulta - fact_paradas" description="Conexão com a consulta 'fact_paradas' na pasta de trabalho." type="5" refreshedVersion="8" background="1" saveData="1">
    <dbPr connection="Provider=Microsoft.Mashup.OleDb.1;Data Source=$Workbook$;Location=fact_paradas;Extended Properties=&quot;&quot;" command="SELECT * FROM [fact_paradas]"/>
  </connection>
  <connection id="4" xr16:uid="{1903C2CC-892C-4A77-AB55-CB7C8A0DBDE5}" keepAlive="1" name="Consulta - fact_producao" description="Conexão com a consulta 'fact_producao' na pasta de trabalho." type="5" refreshedVersion="0" background="1">
    <dbPr connection="Provider=Microsoft.Mashup.OleDb.1;Data Source=$Workbook$;Location=fact_producao;Extended Properties=&quot;&quot;" command="SELECT * FROM [fact_producao]"/>
  </connection>
  <connection id="5" xr16:uid="{C8387965-1E3C-40D2-9498-420DBEE9FD9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B6CFE8C5-55C0-4F4F-B83B-8F565535F13B}" name="WorksheetConnection_Pasta1!dim_Linhas" type="102" refreshedVersion="8" minRefreshableVersion="5">
    <extLst>
      <ext xmlns:x15="http://schemas.microsoft.com/office/spreadsheetml/2010/11/main" uri="{DE250136-89BD-433C-8126-D09CA5730AF9}">
        <x15:connection id="dim_Linhas">
          <x15:rangePr sourceName="_xlcn.WorksheetConnection_Pasta1dim_Linhas1"/>
        </x15:connection>
      </ext>
    </extLst>
  </connection>
  <connection id="7" xr16:uid="{98A73BB6-4640-42A6-8F31-A9F06D0DE345}" name="WorksheetConnection_Pasta1!dim_Paradas" type="102" refreshedVersion="8" minRefreshableVersion="5">
    <extLst>
      <ext xmlns:x15="http://schemas.microsoft.com/office/spreadsheetml/2010/11/main" uri="{DE250136-89BD-433C-8126-D09CA5730AF9}">
        <x15:connection id="dim_Paradas">
          <x15:rangePr sourceName="_xlcn.WorksheetConnection_Pasta1dim_Paradas1"/>
        </x15:connection>
      </ext>
    </extLst>
  </connection>
  <connection id="8" xr16:uid="{8A5AE96A-D682-45D4-A288-1E23A3E0EF1B}" name="WorksheetConnection_Pasta1!fact_producao" type="102" refreshedVersion="8" minRefreshableVersion="5">
    <extLst>
      <ext xmlns:x15="http://schemas.microsoft.com/office/spreadsheetml/2010/11/main" uri="{DE250136-89BD-433C-8126-D09CA5730AF9}">
        <x15:connection id="fact_producao">
          <x15:rangePr sourceName="_xlcn.WorksheetConnection_Pasta1fact_producao1"/>
        </x15:connection>
      </ext>
    </extLst>
  </connection>
  <connection id="9" xr16:uid="{F2629427-77C0-453C-B36E-E42278C44F1C}" name="WorksheetConnection_Projeto Excel.xlsx!fact_paradas" type="102" refreshedVersion="8" minRefreshableVersion="5">
    <extLst>
      <ext xmlns:x15="http://schemas.microsoft.com/office/spreadsheetml/2010/11/main" uri="{DE250136-89BD-433C-8126-D09CA5730AF9}">
        <x15:connection id="fact_paradas">
          <x15:rangePr sourceName="_xlcn.WorksheetConnection_ProjetoExcel.xlsxfact_paradas1"/>
        </x15:connection>
      </ext>
    </extLst>
  </connection>
  <connection id="10" xr16:uid="{B7095125-CDB1-4A71-8D68-7218FA4709BE}" name="WorksheetConnection_Projeto Excel.xlsx!Kpis_Calculados" type="102" refreshedVersion="8" minRefreshableVersion="5">
    <extLst>
      <ext xmlns:x15="http://schemas.microsoft.com/office/spreadsheetml/2010/11/main" uri="{DE250136-89BD-433C-8126-D09CA5730AF9}">
        <x15:connection id="Kpis_Calculados" autoDelete="1">
          <x15:rangePr sourceName="_xlcn.WorksheetConnection_ProjetoExcel.xlsxKpis_Calculado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<sst xmlns="http://schemas.openxmlformats.org/spreadsheetml/2006/main" count="101" uniqueCount="51">
  <si>
    <t>ID_Linha</t>
  </si>
  <si>
    <t>SKU_Produto</t>
  </si>
  <si>
    <t>Qtd_Produzida</t>
  </si>
  <si>
    <t>Qtd_Refugo</t>
  </si>
  <si>
    <t>T1</t>
  </si>
  <si>
    <t>T2</t>
  </si>
  <si>
    <t>T3</t>
  </si>
  <si>
    <t>ID_Turno</t>
  </si>
  <si>
    <t>Qtd_Planejada</t>
  </si>
  <si>
    <t>Tempo_Operacao</t>
  </si>
  <si>
    <t>Tempo_Parada</t>
  </si>
  <si>
    <t>ID_Motivo_Parada</t>
  </si>
  <si>
    <t>L01</t>
  </si>
  <si>
    <t>SKUA100</t>
  </si>
  <si>
    <t>PAR-001</t>
  </si>
  <si>
    <t>L02</t>
  </si>
  <si>
    <t>SKUB200</t>
  </si>
  <si>
    <t>PAR-000</t>
  </si>
  <si>
    <t>ID_Fato</t>
  </si>
  <si>
    <t>Data_Key</t>
  </si>
  <si>
    <t>PAR-002</t>
  </si>
  <si>
    <t>SKUC300</t>
  </si>
  <si>
    <t>L03</t>
  </si>
  <si>
    <t>L04</t>
  </si>
  <si>
    <t>SKUD400</t>
  </si>
  <si>
    <t>L05</t>
  </si>
  <si>
    <t>SKUE500</t>
  </si>
  <si>
    <t>Nome_Linha</t>
  </si>
  <si>
    <t>Capacidade_Hora</t>
  </si>
  <si>
    <t>Linha Montagem A</t>
  </si>
  <si>
    <t>Linha Montagem B</t>
  </si>
  <si>
    <t>Linha Montagem C</t>
  </si>
  <si>
    <t>Linha Montagem D</t>
  </si>
  <si>
    <t>Linha Injeção E</t>
  </si>
  <si>
    <t>Descricao</t>
  </si>
  <si>
    <t>Tipo_Parada</t>
  </si>
  <si>
    <t>Sem Parada</t>
  </si>
  <si>
    <t>Operacional</t>
  </si>
  <si>
    <t>Ajuste Setup</t>
  </si>
  <si>
    <t>Programada</t>
  </si>
  <si>
    <t>Falha Mecânica</t>
  </si>
  <si>
    <t>Não Programada</t>
  </si>
  <si>
    <t>Total Geral</t>
  </si>
  <si>
    <t>ANALISES</t>
  </si>
  <si>
    <t>Tempo Parada Total (min)</t>
  </si>
  <si>
    <t>Qtd Produzida</t>
  </si>
  <si>
    <t>Linha</t>
  </si>
  <si>
    <t>Qtd Refugo</t>
  </si>
  <si>
    <t>Taxa_Refugo</t>
  </si>
  <si>
    <t>Eficiencia_Producao</t>
  </si>
  <si>
    <t>Tempo_Medio_Parada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</si>
</sst>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0.0%"/>
  </numFmts>
  <fonts count="9" x14ac:knownFonts="1">
    <font>
      <sz val="11"/>
      <color theme="1"/>
      <name val="Aptos Narrow"/>
      <family val="2"/>
      <scheme val="minor"/>
    </font>
    <font>
      <b/>
      <sz val="36"/>
      <color theme="0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6"/>
      <color theme="1"/>
      <name val="Segoe UI"/>
      <family val="2"/>
    </font>
    <font>
      <sz val="16"/>
      <color theme="1"/>
      <name val="Segoe UI"/>
      <family val="2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10" fontId="0" fillId="0" borderId="0" xfId="0" applyNumberFormat="1"/>
    <xf numFmtId="9" fontId="0" fillId="0" borderId="0" xfId="0" applyNumberFormat="1"/>
    <xf numFmtId="9" fontId="0" fillId="0" borderId="0" xfId="2" applyFont="1"/>
    <xf numFmtId="169" fontId="0" fillId="0" borderId="0" xfId="2" applyNumberFormat="1" applyFont="1"/>
    <xf numFmtId="10" fontId="0" fillId="0" borderId="0" xfId="2" applyNumberFormat="1" applyFont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0" fillId="3" borderId="0" xfId="0" applyFill="1"/>
    <xf numFmtId="9" fontId="0" fillId="0" borderId="0" xfId="2" applyFont="1" applyAlignment="1"/>
    <xf numFmtId="169" fontId="0" fillId="0" borderId="0" xfId="2" applyNumberFormat="1" applyFont="1" applyAlignment="1"/>
    <xf numFmtId="9" fontId="0" fillId="0" borderId="0" xfId="2" applyNumberFormat="1" applyFont="1"/>
    <xf numFmtId="9" fontId="1" fillId="2" borderId="0" xfId="2" applyFont="1" applyFill="1"/>
    <xf numFmtId="10" fontId="1" fillId="2" borderId="0" xfId="2" applyNumberFormat="1" applyFont="1" applyFill="1"/>
    <xf numFmtId="9" fontId="8" fillId="0" borderId="0" xfId="2" applyFont="1"/>
    <xf numFmtId="0" fontId="6" fillId="0" borderId="0" xfId="0" applyFont="1"/>
    <xf numFmtId="0" fontId="7" fillId="0" borderId="0" xfId="0" applyFont="1" applyBorder="1"/>
    <xf numFmtId="0" fontId="6" fillId="0" borderId="0" xfId="0" applyNumberFormat="1" applyFont="1" applyBorder="1"/>
    <xf numFmtId="0" fontId="6" fillId="0" borderId="0" xfId="0" pivotButton="1" applyFont="1"/>
    <xf numFmtId="0" fontId="3" fillId="0" borderId="0" xfId="0" applyFont="1"/>
    <xf numFmtId="3" fontId="6" fillId="0" borderId="0" xfId="0" applyNumberFormat="1" applyFont="1" applyAlignment="1">
      <alignment vertical="center"/>
    </xf>
    <xf numFmtId="0" fontId="4" fillId="0" borderId="0" xfId="0" applyFont="1"/>
    <xf numFmtId="3" fontId="6" fillId="0" borderId="0" xfId="0" applyNumberFormat="1" applyFont="1"/>
    <xf numFmtId="169" fontId="7" fillId="0" borderId="0" xfId="0" applyNumberFormat="1" applyFont="1" applyBorder="1"/>
    <xf numFmtId="9" fontId="7" fillId="0" borderId="0" xfId="0" applyNumberFormat="1" applyFont="1" applyBorder="1"/>
    <xf numFmtId="169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/>
    <xf numFmtId="9" fontId="1" fillId="2" borderId="0" xfId="2" applyNumberFormat="1" applyFont="1" applyFill="1"/>
    <xf numFmtId="43" fontId="1" fillId="2" borderId="0" xfId="1" applyFont="1" applyFill="1"/>
    <xf numFmtId="43" fontId="0" fillId="0" borderId="0" xfId="1" applyFont="1"/>
  </cellXfs>
  <cellStyles count="3">
    <cellStyle name="Normal" xfId="0" builtinId="0"/>
    <cellStyle name="Porcentagem" xfId="2" builtinId="5"/>
    <cellStyle name="Vírgula" xfId="1" builtinId="3"/>
  </cellStyles>
  <dxfs count="767"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6"/>
      </font>
    </dxf>
    <dxf>
      <numFmt numFmtId="1" formatCode="0"/>
    </dxf>
    <dxf>
      <numFmt numFmtId="13" formatCode="0%"/>
    </dxf>
    <dxf>
      <numFmt numFmtId="13" formatCode="0%"/>
    </dxf>
    <dxf>
      <font>
        <sz val="16"/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169" formatCode="0.0%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8"/>
      </font>
    </dxf>
    <dxf>
      <numFmt numFmtId="13" formatCode="0%"/>
    </dxf>
    <dxf>
      <font>
        <sz val="16"/>
      </font>
    </dxf>
    <dxf>
      <font>
        <sz val="16"/>
      </font>
    </dxf>
    <dxf>
      <font>
        <sz val="16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4"/>
      </font>
    </dxf>
    <dxf>
      <font>
        <sz val="14"/>
      </font>
    </dxf>
    <dxf>
      <numFmt numFmtId="3" formatCode="#,##0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  <name val="Segoe UI"/>
        <scheme val="none"/>
      </font>
    </dxf>
    <dxf>
      <font>
        <sz val="14"/>
        <name val="Segoe UI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9" formatCode="0.0%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z val="14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[Dashboard_Performance_Industrial_V1.xlsx]ANALISES!Tabela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solidFill>
                  <a:schemeClr val="tx1"/>
                </a:solidFill>
              </a:rPr>
              <a:t>TOTAL PRODUZIDO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ANALISES!$A$4:$A$9</c:f>
              <c:strCache>
                <c:ptCount val="5"/>
                <c:pt idx="0">
                  <c:v>Linha Injeção E</c:v>
                </c:pt>
                <c:pt idx="1">
                  <c:v>Linha Montagem A</c:v>
                </c:pt>
                <c:pt idx="2">
                  <c:v>Linha Montagem B</c:v>
                </c:pt>
                <c:pt idx="3">
                  <c:v>Linha Montagem C</c:v>
                </c:pt>
                <c:pt idx="4">
                  <c:v>Linha Montagem D</c:v>
                </c:pt>
              </c:strCache>
            </c:strRef>
          </c:cat>
          <c:val>
            <c:numRef>
              <c:f>ANALISES!$B$4:$B$9</c:f>
              <c:numCache>
                <c:formatCode>#,##0</c:formatCode>
                <c:ptCount val="5"/>
                <c:pt idx="0">
                  <c:v>1990</c:v>
                </c:pt>
                <c:pt idx="1">
                  <c:v>4850</c:v>
                </c:pt>
                <c:pt idx="2">
                  <c:v>2980</c:v>
                </c:pt>
                <c:pt idx="3">
                  <c:v>3950</c:v>
                </c:pt>
                <c:pt idx="4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E-47F3-B674-AD2E60FBFA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72183568"/>
        <c:axId val="1172181808"/>
      </c:barChart>
      <c:catAx>
        <c:axId val="117218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172181808"/>
        <c:crosses val="autoZero"/>
        <c:auto val="1"/>
        <c:lblAlgn val="ctr"/>
        <c:lblOffset val="100"/>
        <c:noMultiLvlLbl val="0"/>
      </c:catAx>
      <c:valAx>
        <c:axId val="117218180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17218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innerShdw blurRad="114300">
        <a:prstClr val="black"/>
      </a:innerShdw>
      <a:softEdge rad="12700"/>
    </a:effectLst>
  </c:spPr>
  <c:txPr>
    <a:bodyPr/>
    <a:lstStyle/>
    <a:p>
      <a:pPr>
        <a:defRPr sz="1400" b="1">
          <a:solidFill>
            <a:schemeClr val="bg1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[Dashboard_Performance_Industrial_V1.xlsx]ANALISES!Tabela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REFUGO QUANTIDADE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ANALISES!$D$4:$D$9</c:f>
              <c:strCache>
                <c:ptCount val="5"/>
                <c:pt idx="0">
                  <c:v>Linha Injeção E</c:v>
                </c:pt>
                <c:pt idx="1">
                  <c:v>Linha Montagem A</c:v>
                </c:pt>
                <c:pt idx="2">
                  <c:v>Linha Montagem B</c:v>
                </c:pt>
                <c:pt idx="3">
                  <c:v>Linha Montagem C</c:v>
                </c:pt>
                <c:pt idx="4">
                  <c:v>Linha Montagem D</c:v>
                </c:pt>
              </c:strCache>
            </c:strRef>
          </c:cat>
          <c:val>
            <c:numRef>
              <c:f>ANALISES!$E$4:$E$9</c:f>
              <c:numCache>
                <c:formatCode>0</c:formatCode>
                <c:ptCount val="5"/>
                <c:pt idx="0">
                  <c:v>2</c:v>
                </c:pt>
                <c:pt idx="1">
                  <c:v>45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5-4702-89EB-126436CE7E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72203280"/>
        <c:axId val="1172199760"/>
      </c:barChart>
      <c:catAx>
        <c:axId val="117220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172199760"/>
        <c:crosses val="autoZero"/>
        <c:auto val="1"/>
        <c:lblAlgn val="ctr"/>
        <c:lblOffset val="100"/>
        <c:noMultiLvlLbl val="0"/>
      </c:catAx>
      <c:valAx>
        <c:axId val="117219976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17220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innerShdw blurRad="114300">
        <a:prstClr val="black"/>
      </a:innerShdw>
      <a:softEdge rad="12700"/>
    </a:effectLst>
  </c:spPr>
  <c:txPr>
    <a:bodyPr/>
    <a:lstStyle/>
    <a:p>
      <a:pPr>
        <a:defRPr sz="120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pt.wallpapers.com/fundo-azul-e-branco" TargetMode="External"/><Relationship Id="rId1" Type="http://schemas.openxmlformats.org/officeDocument/2006/relationships/image" Target="../media/image2.jp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70</xdr:col>
      <xdr:colOff>54428</xdr:colOff>
      <xdr:row>140</xdr:row>
      <xdr:rowOff>14174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F133ED6-0888-B9F0-D502-2CCD6B46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0" y="0"/>
          <a:ext cx="42694678" cy="26684174"/>
        </a:xfrm>
        <a:prstGeom prst="rect">
          <a:avLst/>
        </a:prstGeom>
      </xdr:spPr>
    </xdr:pic>
    <xdr:clientData/>
  </xdr:twoCellAnchor>
  <xdr:twoCellAnchor>
    <xdr:from>
      <xdr:col>31</xdr:col>
      <xdr:colOff>-1</xdr:colOff>
      <xdr:row>0</xdr:row>
      <xdr:rowOff>47624</xdr:rowOff>
    </xdr:from>
    <xdr:to>
      <xdr:col>70</xdr:col>
      <xdr:colOff>-1</xdr:colOff>
      <xdr:row>140</xdr:row>
      <xdr:rowOff>1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E5D7FA5E-2EDB-488C-B4CD-DAFEC1FBBB03}"/>
            </a:ext>
          </a:extLst>
        </xdr:cNvPr>
        <xdr:cNvSpPr/>
      </xdr:nvSpPr>
      <xdr:spPr>
        <a:xfrm rot="5400000">
          <a:off x="18335623" y="1285875"/>
          <a:ext cx="26622377" cy="241458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47624</xdr:rowOff>
    </xdr:from>
    <xdr:to>
      <xdr:col>4</xdr:col>
      <xdr:colOff>0</xdr:colOff>
      <xdr:row>140</xdr:row>
      <xdr:rowOff>14173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D504A3AD-E089-97DD-599B-00420116C3EF}"/>
            </a:ext>
          </a:extLst>
        </xdr:cNvPr>
        <xdr:cNvSpPr/>
      </xdr:nvSpPr>
      <xdr:spPr>
        <a:xfrm rot="5400000">
          <a:off x="-11889525" y="11937149"/>
          <a:ext cx="26636549" cy="2857500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70</xdr:col>
      <xdr:colOff>54429</xdr:colOff>
      <xdr:row>5</xdr:row>
      <xdr:rowOff>149679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E2F773E-CEA0-3F37-AED2-3A420CA4A0BC}"/>
            </a:ext>
          </a:extLst>
        </xdr:cNvPr>
        <xdr:cNvSpPr/>
      </xdr:nvSpPr>
      <xdr:spPr>
        <a:xfrm>
          <a:off x="0" y="0"/>
          <a:ext cx="42694679" cy="1102179"/>
        </a:xfrm>
        <a:prstGeom prst="roundRect">
          <a:avLst>
            <a:gd name="adj" fmla="val 5556"/>
          </a:avLst>
        </a:prstGeom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w="101600" prst="ribl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2" algn="l"/>
          <a:r>
            <a:rPr lang="pt-BR" sz="6600" b="1">
              <a:latin typeface="Segoe UI" panose="020B0502040204020203" pitchFamily="34" charset="0"/>
              <a:cs typeface="Segoe UI" panose="020B0502040204020203" pitchFamily="34" charset="0"/>
            </a:rPr>
            <a:t>Painel de Performance Industrial - 2026</a:t>
          </a:r>
        </a:p>
      </xdr:txBody>
    </xdr:sp>
    <xdr:clientData/>
  </xdr:twoCellAnchor>
  <xdr:twoCellAnchor>
    <xdr:from>
      <xdr:col>18</xdr:col>
      <xdr:colOff>596240</xdr:colOff>
      <xdr:row>7</xdr:row>
      <xdr:rowOff>176893</xdr:rowOff>
    </xdr:from>
    <xdr:to>
      <xdr:col>20</xdr:col>
      <xdr:colOff>122465</xdr:colOff>
      <xdr:row>10</xdr:row>
      <xdr:rowOff>176893</xdr:rowOff>
    </xdr:to>
    <xdr:sp macro="" textlink="ANALISES!AB3">
      <xdr:nvSpPr>
        <xdr:cNvPr id="17" name="CaixaDeTexto 16">
          <a:extLst>
            <a:ext uri="{FF2B5EF4-FFF2-40B4-BE49-F238E27FC236}">
              <a16:creationId xmlns:a16="http://schemas.microsoft.com/office/drawing/2014/main" id="{22BB61F1-9933-CCE8-23C8-33CD387C7D5C}"/>
            </a:ext>
          </a:extLst>
        </xdr:cNvPr>
        <xdr:cNvSpPr txBox="1"/>
      </xdr:nvSpPr>
      <xdr:spPr>
        <a:xfrm>
          <a:off x="12012633" y="1510393"/>
          <a:ext cx="750868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pt-BR" sz="4000" b="1" i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7</xdr:row>
      <xdr:rowOff>0</xdr:rowOff>
    </xdr:from>
    <xdr:to>
      <xdr:col>4</xdr:col>
      <xdr:colOff>8274</xdr:colOff>
      <xdr:row>29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Linha">
              <a:extLst>
                <a:ext uri="{FF2B5EF4-FFF2-40B4-BE49-F238E27FC236}">
                  <a16:creationId xmlns:a16="http://schemas.microsoft.com/office/drawing/2014/main" id="{62BAA335-80E2-4735-BBCF-3F68ADF24E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33500"/>
              <a:ext cx="2834024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17</xdr:col>
      <xdr:colOff>106590</xdr:colOff>
      <xdr:row>14</xdr:row>
      <xdr:rowOff>0</xdr:rowOff>
    </xdr:from>
    <xdr:to>
      <xdr:col>30</xdr:col>
      <xdr:colOff>396875</xdr:colOff>
      <xdr:row>40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2D0C56-4536-4FD7-91D3-DF2D5FF5D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176854</xdr:colOff>
      <xdr:row>13</xdr:row>
      <xdr:rowOff>190499</xdr:rowOff>
    </xdr:from>
    <xdr:to>
      <xdr:col>17</xdr:col>
      <xdr:colOff>97935</xdr:colOff>
      <xdr:row>40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BF423B-AF32-477C-BC96-ED7E8D06C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213226</xdr:colOff>
      <xdr:row>5</xdr:row>
      <xdr:rowOff>181430</xdr:rowOff>
    </xdr:from>
    <xdr:to>
      <xdr:col>9</xdr:col>
      <xdr:colOff>316530</xdr:colOff>
      <xdr:row>12</xdr:row>
      <xdr:rowOff>180221</xdr:rowOff>
    </xdr:to>
    <xdr:sp macro="" textlink="ANALISES!Z3">
      <xdr:nvSpPr>
        <xdr:cNvPr id="9" name="Retângulo: Cantos Arredondados 8">
          <a:extLst>
            <a:ext uri="{FF2B5EF4-FFF2-40B4-BE49-F238E27FC236}">
              <a16:creationId xmlns:a16="http://schemas.microsoft.com/office/drawing/2014/main" id="{ACAE6545-E9C0-7BC4-F180-4D5C84554820}"/>
            </a:ext>
          </a:extLst>
        </xdr:cNvPr>
        <xdr:cNvSpPr/>
      </xdr:nvSpPr>
      <xdr:spPr>
        <a:xfrm>
          <a:off x="3038976" y="1133930"/>
          <a:ext cx="3119554" cy="1332291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EFC1FB3E-1DE7-4DA5-92B8-6CFEBE852591}" type="TxLink">
            <a:rPr lang="en-US" sz="4400" b="1" i="0" u="none" strike="noStrike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2,9%</a:t>
          </a:fld>
          <a:endParaRPr lang="en-US" sz="4400" b="1" i="0" u="none" strike="noStrike">
            <a:solidFill>
              <a:schemeClr val="tx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177349</xdr:colOff>
      <xdr:row>5</xdr:row>
      <xdr:rowOff>181430</xdr:rowOff>
    </xdr:from>
    <xdr:to>
      <xdr:col>20</xdr:col>
      <xdr:colOff>130850</xdr:colOff>
      <xdr:row>13</xdr:row>
      <xdr:rowOff>17607</xdr:rowOff>
    </xdr:to>
    <xdr:sp macro="" textlink="ANALISES!AA3">
      <xdr:nvSpPr>
        <xdr:cNvPr id="10" name="Retângulo: Cantos Arredondados 9">
          <a:extLst>
            <a:ext uri="{FF2B5EF4-FFF2-40B4-BE49-F238E27FC236}">
              <a16:creationId xmlns:a16="http://schemas.microsoft.com/office/drawing/2014/main" id="{DE6D6C6D-A1AE-4019-99BC-C8343DEB2318}"/>
            </a:ext>
          </a:extLst>
        </xdr:cNvPr>
        <xdr:cNvSpPr/>
      </xdr:nvSpPr>
      <xdr:spPr>
        <a:xfrm>
          <a:off x="9035599" y="1133930"/>
          <a:ext cx="3573001" cy="1360177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E4AB17A-125E-4537-BDC8-29F7959C5DE9}" type="TxLink">
            <a:rPr lang="en-US" sz="4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491%</a:t>
          </a:fld>
          <a:endParaRPr lang="en-US" b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24</xdr:col>
      <xdr:colOff>431249</xdr:colOff>
      <xdr:row>5</xdr:row>
      <xdr:rowOff>181429</xdr:rowOff>
    </xdr:from>
    <xdr:to>
      <xdr:col>30</xdr:col>
      <xdr:colOff>396875</xdr:colOff>
      <xdr:row>13</xdr:row>
      <xdr:rowOff>65770</xdr:rowOff>
    </xdr:to>
    <xdr:sp macro="" textlink="ANALISES!AB3">
      <xdr:nvSpPr>
        <xdr:cNvPr id="11" name="Retângulo: Cantos Arredondados 10">
          <a:extLst>
            <a:ext uri="{FF2B5EF4-FFF2-40B4-BE49-F238E27FC236}">
              <a16:creationId xmlns:a16="http://schemas.microsoft.com/office/drawing/2014/main" id="{D62B64B5-A5A6-46BF-BD9B-C1CB07A11E27}"/>
            </a:ext>
          </a:extLst>
        </xdr:cNvPr>
        <xdr:cNvSpPr/>
      </xdr:nvSpPr>
      <xdr:spPr>
        <a:xfrm>
          <a:off x="15321999" y="1133929"/>
          <a:ext cx="3585126" cy="1408341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85B61E7-5D4D-4968-90E5-E54CEFD95FB4}" type="TxLink">
            <a:rPr lang="en-US" sz="4800" b="1" i="0" u="none" strike="noStrike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35</a:t>
          </a:fld>
          <a:endParaRPr lang="pt-BR" sz="4800" b="1" i="0" u="none" strike="noStrike">
            <a:solidFill>
              <a:schemeClr val="tx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102554</xdr:colOff>
      <xdr:row>6</xdr:row>
      <xdr:rowOff>32378</xdr:rowOff>
    </xdr:from>
    <xdr:to>
      <xdr:col>30</xdr:col>
      <xdr:colOff>330916</xdr:colOff>
      <xdr:row>8</xdr:row>
      <xdr:rowOff>105665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C0DAA7FB-49C9-FC1C-AD3A-6EE311D6FE9F}"/>
            </a:ext>
          </a:extLst>
        </xdr:cNvPr>
        <xdr:cNvSpPr txBox="1"/>
      </xdr:nvSpPr>
      <xdr:spPr>
        <a:xfrm>
          <a:off x="15596554" y="1175378"/>
          <a:ext cx="3244612" cy="45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atin typeface="Segoe UI" panose="020B0502040204020203" pitchFamily="34" charset="0"/>
              <a:cs typeface="Segoe UI" panose="020B0502040204020203" pitchFamily="34" charset="0"/>
            </a:rPr>
            <a:t>TEMPO DE PARADA</a:t>
          </a:r>
        </a:p>
      </xdr:txBody>
    </xdr:sp>
    <xdr:clientData/>
  </xdr:twoCellAnchor>
  <xdr:twoCellAnchor>
    <xdr:from>
      <xdr:col>4</xdr:col>
      <xdr:colOff>413273</xdr:colOff>
      <xdr:row>6</xdr:row>
      <xdr:rowOff>63362</xdr:rowOff>
    </xdr:from>
    <xdr:to>
      <xdr:col>10</xdr:col>
      <xdr:colOff>210328</xdr:colOff>
      <xdr:row>8</xdr:row>
      <xdr:rowOff>136649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AE38D69C-005E-4328-B5D1-408D6023E208}"/>
            </a:ext>
          </a:extLst>
        </xdr:cNvPr>
        <xdr:cNvSpPr txBox="1"/>
      </xdr:nvSpPr>
      <xdr:spPr>
        <a:xfrm>
          <a:off x="3239023" y="1206362"/>
          <a:ext cx="3416555" cy="45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atin typeface="Segoe UI" panose="020B0502040204020203" pitchFamily="34" charset="0"/>
              <a:cs typeface="Segoe UI" panose="020B0502040204020203" pitchFamily="34" charset="0"/>
            </a:rPr>
            <a:t>TAXA</a:t>
          </a:r>
          <a:r>
            <a:rPr lang="pt-BR" sz="2400" b="1" baseline="0">
              <a:latin typeface="Segoe UI" panose="020B0502040204020203" pitchFamily="34" charset="0"/>
              <a:cs typeface="Segoe UI" panose="020B0502040204020203" pitchFamily="34" charset="0"/>
            </a:rPr>
            <a:t> DE REFUGO</a:t>
          </a:r>
          <a:endParaRPr lang="pt-BR" sz="2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15</xdr:col>
      <xdr:colOff>306102</xdr:colOff>
      <xdr:row>6</xdr:row>
      <xdr:rowOff>18145</xdr:rowOff>
    </xdr:from>
    <xdr:to>
      <xdr:col>19</xdr:col>
      <xdr:colOff>118429</xdr:colOff>
      <xdr:row>9</xdr:row>
      <xdr:rowOff>3912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F6B27B4-8477-4D28-AEB2-F35F12CC050D}"/>
            </a:ext>
          </a:extLst>
        </xdr:cNvPr>
        <xdr:cNvSpPr txBox="1"/>
      </xdr:nvSpPr>
      <xdr:spPr>
        <a:xfrm>
          <a:off x="9767602" y="1161145"/>
          <a:ext cx="2225327" cy="557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 b="1">
              <a:latin typeface="Segoe UI" panose="020B0502040204020203" pitchFamily="34" charset="0"/>
              <a:cs typeface="Segoe UI" panose="020B0502040204020203" pitchFamily="34" charset="0"/>
            </a:rPr>
            <a:t>EFICIÊNCIA</a:t>
          </a:r>
          <a:r>
            <a:rPr lang="pt-BR" sz="28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2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27</xdr:col>
      <xdr:colOff>578804</xdr:colOff>
      <xdr:row>10</xdr:row>
      <xdr:rowOff>96311</xdr:rowOff>
    </xdr:from>
    <xdr:to>
      <xdr:col>29</xdr:col>
      <xdr:colOff>333880</xdr:colOff>
      <xdr:row>12</xdr:row>
      <xdr:rowOff>109918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2B67B7E-9B09-D5BB-D764-56FAB6DD9450}"/>
            </a:ext>
          </a:extLst>
        </xdr:cNvPr>
        <xdr:cNvSpPr txBox="1"/>
      </xdr:nvSpPr>
      <xdr:spPr>
        <a:xfrm>
          <a:off x="17279304" y="2001311"/>
          <a:ext cx="961576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(min)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 Vieira" refreshedDate="46189.645631481479" backgroundQuery="1" createdVersion="8" refreshedVersion="8" minRefreshableVersion="3" recordCount="0" supportSubquery="1" supportAdvancedDrill="1" xr:uid="{BCABB81B-375B-45A5-9871-E168A902E1D2}">
  <cacheSource type="external" connectionId="5"/>
  <cacheFields count="3">
    <cacheField name="[dim_Linhas].[ID_Linha].[ID_Linha]" caption="ID_Linha" numFmtId="0" level="1">
      <sharedItems count="2">
        <s v="L01"/>
        <s v="L04"/>
      </sharedItems>
    </cacheField>
    <cacheField name="[fact_paradas].[ID_Motivo_Parada].[ID_Motivo_Parada]" caption="ID_Motivo_Parada" numFmtId="0" hierarchy="9" level="1">
      <sharedItems count="2">
        <s v="PAR-001"/>
        <s v="PAR-002"/>
      </sharedItems>
    </cacheField>
    <cacheField name="[Measures].[Tempo Parada Total (min)]" caption="Tempo Parada Total (min)" numFmtId="0" hierarchy="25" level="32767"/>
  </cacheFields>
  <cacheHierarchies count="39">
    <cacheHierarchy uniqueName="[dim_Linhas].[ID_Linha]" caption="ID_Linha" attribute="1" defaultMemberUniqueName="[dim_Linhas].[ID_Linha].[All]" allUniqueName="[dim_Linhas].[ID_Linha].[All]" dimensionUniqueName="[dim_Linhas]" displayFolder="" count="2" memberValueDatatype="130" unbalanced="0">
      <fieldsUsage count="2">
        <fieldUsage x="-1"/>
        <fieldUsage x="0"/>
      </fieldsUsage>
    </cacheHierarchy>
    <cacheHierarchy uniqueName="[dim_Linhas].[Nome_Linha]" caption="Nome_Linha" attribute="1" defaultMemberUniqueName="[dim_Linhas].[Nome_Linha].[All]" allUniqueName="[dim_Linhas].[Nome_Linha].[All]" dimensionUniqueName="[dim_Linhas]" displayFolder="" count="2" memberValueDatatype="130" unbalanced="0"/>
    <cacheHierarchy uniqueName="[dim_Linhas].[Capacidade_Hora]" caption="Capacidade_Hora" attribute="1" defaultMemberUniqueName="[dim_Linhas].[Capacidade_Hora].[All]" allUniqueName="[dim_Linhas].[Capacidade_Hora].[All]" dimensionUniqueName="[dim_Linhas]" displayFolder="" count="2" memberValueDatatype="20" unbalanced="0"/>
    <cacheHierarchy uniqueName="[dim_Paradas].[ID_Motivo_Parada]" caption="ID_Motivo_Parada" attribute="1" defaultMemberUniqueName="[dim_Paradas].[ID_Motivo_Parada].[All]" allUniqueName="[dim_Paradas].[ID_Motivo_Parada].[All]" dimensionUniqueName="[dim_Paradas]" displayFolder="" count="2" memberValueDatatype="130" unbalanced="0"/>
    <cacheHierarchy uniqueName="[dim_Paradas].[Descricao]" caption="Descricao" attribute="1" defaultMemberUniqueName="[dim_Paradas].[Descricao].[All]" allUniqueName="[dim_Paradas].[Descricao].[All]" dimensionUniqueName="[dim_Paradas]" displayFolder="" count="2" memberValueDatatype="130" unbalanced="0"/>
    <cacheHierarchy uniqueName="[dim_Paradas].[Tipo_Parada]" caption="Tipo_Parada" attribute="1" defaultMemberUniqueName="[dim_Paradas].[Tipo_Parada].[All]" allUniqueName="[dim_Paradas].[Tipo_Parada].[All]" dimensionUniqueName="[dim_Paradas]" displayFolder="" count="2" memberValueDatatype="130" unbalanced="0"/>
    <cacheHierarchy uniqueName="[fact_paradas].[Data_Key]" caption="Data_Key" attribute="1" defaultMemberUniqueName="[fact_paradas].[Data_Key].[All]" allUniqueName="[fact_paradas].[Data_Key].[All]" dimensionUniqueName="[fact_paradas]" displayFolder="" count="2" memberValueDatatype="20" unbalanced="0"/>
    <cacheHierarchy uniqueName="[fact_paradas].[ID_Linha]" caption="ID_Linha" attribute="1" defaultMemberUniqueName="[fact_paradas].[ID_Linha].[All]" allUniqueName="[fact_paradas].[ID_Linha].[All]" dimensionUniqueName="[fact_paradas]" displayFolder="" count="2" memberValueDatatype="130" unbalanced="0"/>
    <cacheHierarchy uniqueName="[fact_paradas].[Tempo_Parada]" caption="Tempo_Parada" attribute="1" defaultMemberUniqueName="[fact_paradas].[Tempo_Parada].[All]" allUniqueName="[fact_paradas].[Tempo_Parada].[All]" dimensionUniqueName="[fact_paradas]" displayFolder="" count="2" memberValueDatatype="20" unbalanced="0"/>
    <cacheHierarchy uniqueName="[fact_paradas].[ID_Motivo_Parada]" caption="ID_Motivo_Parada" attribute="1" defaultMemberUniqueName="[fact_paradas].[ID_Motivo_Parada].[All]" allUniqueName="[fact_paradas].[ID_Motivo_Parada].[All]" dimensionUniqueName="[fact_paradas]" displayFolder="" count="2" memberValueDatatype="130" unbalanced="0">
      <fieldsUsage count="2">
        <fieldUsage x="-1"/>
        <fieldUsage x="1"/>
      </fieldsUsage>
    </cacheHierarchy>
    <cacheHierarchy uniqueName="[fact_producao].[ID_Fato]" caption="ID_Fato" attribute="1" defaultMemberUniqueName="[fact_producao].[ID_Fato].[All]" allUniqueName="[fact_producao].[ID_Fato].[All]" dimensionUniqueName="[fact_producao]" displayFolder="" count="2" memberValueDatatype="20" unbalanced="0"/>
    <cacheHierarchy uniqueName="[fact_producao].[Data_Key]" caption="Data_Key" attribute="1" defaultMemberUniqueName="[fact_producao].[Data_Key].[All]" allUniqueName="[fact_producao].[Data_Key].[All]" dimensionUniqueName="[fact_producao]" displayFolder="" count="2" memberValueDatatype="20" unbalanced="0"/>
    <cacheHierarchy uniqueName="[fact_producao].[ID_Turno]" caption="ID_Turno" attribute="1" defaultMemberUniqueName="[fact_producao].[ID_Turno].[All]" allUniqueName="[fact_producao].[ID_Turno].[All]" dimensionUniqueName="[fact_producao]" displayFolder="" count="2" memberValueDatatype="130" unbalanced="0"/>
    <cacheHierarchy uniqueName="[fact_producao].[ID_Linha]" caption="ID_Linha" attribute="1" defaultMemberUniqueName="[fact_producao].[ID_Linha].[All]" allUniqueName="[fact_producao].[ID_Linha].[All]" dimensionUniqueName="[fact_producao]" displayFolder="" count="2" memberValueDatatype="130" unbalanced="0"/>
    <cacheHierarchy uniqueName="[fact_producao].[SKU_Produto]" caption="SKU_Produto" attribute="1" defaultMemberUniqueName="[fact_producao].[SKU_Produto].[All]" allUniqueName="[fact_producao].[SKU_Produto].[All]" dimensionUniqueName="[fact_producao]" displayFolder="" count="2" memberValueDatatype="130" unbalanced="0"/>
    <cacheHierarchy uniqueName="[fact_producao].[Qtd_Planejada]" caption="Qtd_Planejada" attribute="1" defaultMemberUniqueName="[fact_producao].[Qtd_Planejada].[All]" allUniqueName="[fact_producao].[Qtd_Planejada].[All]" dimensionUniqueName="[fact_producao]" displayFolder="" count="2" memberValueDatatype="20" unbalanced="0"/>
    <cacheHierarchy uniqueName="[fact_producao].[Qtd_Produzida]" caption="Qtd_Produzida" attribute="1" defaultMemberUniqueName="[fact_producao].[Qtd_Produzida].[All]" allUniqueName="[fact_producao].[Qtd_Produzida].[All]" dimensionUniqueName="[fact_producao]" displayFolder="" count="2" memberValueDatatype="20" unbalanced="0"/>
    <cacheHierarchy uniqueName="[fact_producao].[Qtd_Refugo]" caption="Qtd_Refugo" attribute="1" defaultMemberUniqueName="[fact_producao].[Qtd_Refugo].[All]" allUniqueName="[fact_producao].[Qtd_Refugo].[All]" dimensionUniqueName="[fact_producao]" displayFolder="" count="2" memberValueDatatype="20" unbalanced="0"/>
    <cacheHierarchy uniqueName="[fact_producao].[Tempo_Operacao]" caption="Tempo_Operacao" attribute="1" defaultMemberUniqueName="[fact_producao].[Tempo_Operacao].[All]" allUniqueName="[fact_producao].[Tempo_Operacao].[All]" dimensionUniqueName="[fact_producao]" displayFolder="" count="2" memberValueDatatype="20" unbalanced="0"/>
    <cacheHierarchy uniqueName="[fact_producao].[Tempo_Parada]" caption="Tempo_Parada" attribute="1" defaultMemberUniqueName="[fact_producao].[Tempo_Parada].[All]" allUniqueName="[fact_producao].[Tempo_Parada].[All]" dimensionUniqueName="[fact_producao]" displayFolder="" count="2" memberValueDatatype="20" unbalanced="0"/>
    <cacheHierarchy uniqueName="[fact_producao].[ID_Motivo_Parada]" caption="ID_Motivo_Parada" attribute="1" defaultMemberUniqueName="[fact_producao].[ID_Motivo_Parada].[All]" allUniqueName="[fact_producao].[ID_Motivo_Parada].[All]" dimensionUniqueName="[fact_producao]" displayFolder="" count="2" memberValueDatatype="130" unbalanced="0"/>
    <cacheHierarchy uniqueName="[Kpis_Calculados].[ID_Linha]" caption="ID_Linha" attribute="1" defaultMemberUniqueName="[Kpis_Calculados].[ID_Linha].[All]" allUniqueName="[Kpis_Calculados].[ID_Linha].[All]" dimensionUniqueName="[Kpis_Calculados]" displayFolder="" count="2" memberValueDatatype="130" unbalanced="0"/>
    <cacheHierarchy uniqueName="[Kpis_Calculados].[Taxa_Refugo]" caption="Taxa_Refugo" attribute="1" defaultMemberUniqueName="[Kpis_Calculados].[Taxa_Refugo].[All]" allUniqueName="[Kpis_Calculados].[Taxa_Refugo].[All]" dimensionUniqueName="[Kpis_Calculados]" displayFolder="" count="2" memberValueDatatype="5" unbalanced="0"/>
    <cacheHierarchy uniqueName="[Kpis_Calculados].[Eficiencia_Producao]" caption="Eficiencia_Producao" attribute="1" defaultMemberUniqueName="[Kpis_Calculados].[Eficiencia_Producao].[All]" allUniqueName="[Kpis_Calculados].[Eficiencia_Producao].[All]" dimensionUniqueName="[Kpis_Calculados]" displayFolder="" count="2" memberValueDatatype="5" unbalanced="0"/>
    <cacheHierarchy uniqueName="[Kpis_Calculados].[Tempo_Medio_Parada]" caption="Tempo_Medio_Parada" attribute="1" defaultMemberUniqueName="[Kpis_Calculados].[Tempo_Medio_Parada].[All]" allUniqueName="[Kpis_Calculados].[Tempo_Medio_Parada].[All]" dimensionUniqueName="[Kpis_Calculados]" displayFolder="" count="2" memberValueDatatype="20" unbalanced="0"/>
    <cacheHierarchy uniqueName="[Measures].[Tempo Parada Total (min)]" caption="Tempo Parada Total (min)" measure="1" displayFolder="" measureGroup="fact_paradas" count="0" oneField="1">
      <fieldsUsage count="1">
        <fieldUsage x="2"/>
      </fieldsUsage>
    </cacheHierarchy>
    <cacheHierarchy uniqueName="[Measures].[__XL_Count fact_producao]" caption="__XL_Count fact_producao" measure="1" displayFolder="" measureGroup="fact_producao" count="0" hidden="1"/>
    <cacheHierarchy uniqueName="[Measures].[__XL_Count dim_Linhas]" caption="__XL_Count dim_Linhas" measure="1" displayFolder="" measureGroup="dim_Linhas" count="0" hidden="1"/>
    <cacheHierarchy uniqueName="[Measures].[__XL_Count dim_Paradas]" caption="__XL_Count dim_Paradas" measure="1" displayFolder="" measureGroup="dim_Paradas" count="0" hidden="1"/>
    <cacheHierarchy uniqueName="[Measures].[__XL_Count fact_paradas]" caption="__XL_Count fact_paradas" measure="1" displayFolder="" measureGroup="fact_paradas" count="0" hidden="1"/>
    <cacheHierarchy uniqueName="[Measures].[__XL_Count Kpis_Calculados]" caption="__XL_Count Kpis_Calculados" measure="1" displayFolder="" measureGroup="Kpis_Calculados" count="0" hidden="1"/>
    <cacheHierarchy uniqueName="[Measures].[__No measures defined]" caption="__No measures defined" measure="1" displayFolder="" count="0" hidden="1"/>
    <cacheHierarchy uniqueName="[Measures].[Soma de Qtd_Produzida]" caption="Soma de Qtd_Produzi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Qtd_Refugo]" caption="Soma de Qtd_Refugo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empo_Parada]" caption="Soma de Tempo_Para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Tempo_Parada 2]" caption="Soma de Tempo_Parada 2" measure="1" displayFolder="" measureGroup="fact_para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Taxa_Refugo]" caption="Soma de Taxa_Refug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Eficiencia_Producao]" caption="Soma de Eficiencia_Produca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Tempo_Medio_Parada]" caption="Soma de Tempo_Medio_Parada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Linhas" uniqueName="[dim_Linhas]" caption="dim_Linhas"/>
    <dimension name="dim_Paradas" uniqueName="[dim_Paradas]" caption="dim_Paradas"/>
    <dimension name="fact_paradas" uniqueName="[fact_paradas]" caption="fact_paradas"/>
    <dimension name="fact_producao" uniqueName="[fact_producao]" caption="fact_producao"/>
    <dimension name="Kpis_Calculados" uniqueName="[Kpis_Calculados]" caption="Kpis_Calculados"/>
    <dimension measure="1" name="Measures" uniqueName="[Measures]" caption="Measures"/>
  </dimensions>
  <measureGroups count="5">
    <measureGroup name="dim_Linhas" caption="dim_Linhas"/>
    <measureGroup name="dim_Paradas" caption="dim_Paradas"/>
    <measureGroup name="fact_paradas" caption="fact_paradas"/>
    <measureGroup name="fact_producao" caption="fact_producao"/>
    <measureGroup name="Kpis_Calculados" caption="Kpis_Calculados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 Vieira" refreshedDate="46189.645632175925" backgroundQuery="1" createdVersion="8" refreshedVersion="8" minRefreshableVersion="3" recordCount="0" supportSubquery="1" supportAdvancedDrill="1" xr:uid="{09420A64-5812-4E60-9FB3-3706146BF1A4}">
  <cacheSource type="external" connectionId="5"/>
  <cacheFields count="4">
    <cacheField name="[Measures].[Soma de Taxa_Refugo]" caption="Soma de Taxa_Refugo" numFmtId="0" hierarchy="36" level="32767"/>
    <cacheField name="[Measures].[Soma de Eficiencia_Producao]" caption="Soma de Eficiencia_Producao" numFmtId="0" hierarchy="37" level="32767"/>
    <cacheField name="[Measures].[Soma de Tempo_Medio_Parada]" caption="Soma de Tempo_Medio_Parada" numFmtId="0" hierarchy="38" level="32767"/>
    <cacheField name="[dim_Linhas].[ID_Linha].[ID_Linha]" caption="ID_Linha" numFmtId="0" level="1">
      <sharedItems containsSemiMixedTypes="0" containsNonDate="0" containsString="0"/>
    </cacheField>
  </cacheFields>
  <cacheHierarchies count="39">
    <cacheHierarchy uniqueName="[dim_Linhas].[ID_Linha]" caption="ID_Linha" attribute="1" defaultMemberUniqueName="[dim_Linhas].[ID_Linha].[All]" allUniqueName="[dim_Linhas].[ID_Linha].[All]" dimensionUniqueName="[dim_Linhas]" displayFolder="" count="2" memberValueDatatype="130" unbalanced="0">
      <fieldsUsage count="2">
        <fieldUsage x="-1"/>
        <fieldUsage x="3"/>
      </fieldsUsage>
    </cacheHierarchy>
    <cacheHierarchy uniqueName="[dim_Linhas].[Nome_Linha]" caption="Nome_Linha" attribute="1" defaultMemberUniqueName="[dim_Linhas].[Nome_Linha].[All]" allUniqueName="[dim_Linhas].[Nome_Linha].[All]" dimensionUniqueName="[dim_Linhas]" displayFolder="" count="0" memberValueDatatype="130" unbalanced="0"/>
    <cacheHierarchy uniqueName="[dim_Linhas].[Capacidade_Hora]" caption="Capacidade_Hora" attribute="1" defaultMemberUniqueName="[dim_Linhas].[Capacidade_Hora].[All]" allUniqueName="[dim_Linhas].[Capacidade_Hora].[All]" dimensionUniqueName="[dim_Linhas]" displayFolder="" count="0" memberValueDatatype="20" unbalanced="0"/>
    <cacheHierarchy uniqueName="[dim_Paradas].[ID_Motivo_Parada]" caption="ID_Motivo_Parada" attribute="1" defaultMemberUniqueName="[dim_Paradas].[ID_Motivo_Parada].[All]" allUniqueName="[dim_Paradas].[ID_Motivo_Parada].[All]" dimensionUniqueName="[dim_Paradas]" displayFolder="" count="0" memberValueDatatype="130" unbalanced="0"/>
    <cacheHierarchy uniqueName="[dim_Paradas].[Descricao]" caption="Descricao" attribute="1" defaultMemberUniqueName="[dim_Paradas].[Descricao].[All]" allUniqueName="[dim_Paradas].[Descricao].[All]" dimensionUniqueName="[dim_Paradas]" displayFolder="" count="0" memberValueDatatype="130" unbalanced="0"/>
    <cacheHierarchy uniqueName="[dim_Paradas].[Tipo_Parada]" caption="Tipo_Parada" attribute="1" defaultMemberUniqueName="[dim_Paradas].[Tipo_Parada].[All]" allUniqueName="[dim_Paradas].[Tipo_Parada].[All]" dimensionUniqueName="[dim_Paradas]" displayFolder="" count="0" memberValueDatatype="130" unbalanced="0"/>
    <cacheHierarchy uniqueName="[fact_paradas].[Data_Key]" caption="Data_Key" attribute="1" defaultMemberUniqueName="[fact_paradas].[Data_Key].[All]" allUniqueName="[fact_paradas].[Data_Key].[All]" dimensionUniqueName="[fact_paradas]" displayFolder="" count="0" memberValueDatatype="20" unbalanced="0"/>
    <cacheHierarchy uniqueName="[fact_paradas].[ID_Linha]" caption="ID_Linha" attribute="1" defaultMemberUniqueName="[fact_paradas].[ID_Linha].[All]" allUniqueName="[fact_paradas].[ID_Linha].[All]" dimensionUniqueName="[fact_paradas]" displayFolder="" count="0" memberValueDatatype="130" unbalanced="0"/>
    <cacheHierarchy uniqueName="[fact_paradas].[Tempo_Parada]" caption="Tempo_Parada" attribute="1" defaultMemberUniqueName="[fact_paradas].[Tempo_Parada].[All]" allUniqueName="[fact_paradas].[Tempo_Parada].[All]" dimensionUniqueName="[fact_paradas]" displayFolder="" count="0" memberValueDatatype="20" unbalanced="0"/>
    <cacheHierarchy uniqueName="[fact_paradas].[ID_Motivo_Parada]" caption="ID_Motivo_Parada" attribute="1" defaultMemberUniqueName="[fact_paradas].[ID_Motivo_Parada].[All]" allUniqueName="[fact_paradas].[ID_Motivo_Parada].[All]" dimensionUniqueName="[fact_paradas]" displayFolder="" count="0" memberValueDatatype="130" unbalanced="0"/>
    <cacheHierarchy uniqueName="[fact_producao].[ID_Fato]" caption="ID_Fato" attribute="1" defaultMemberUniqueName="[fact_producao].[ID_Fato].[All]" allUniqueName="[fact_producao].[ID_Fato].[All]" dimensionUniqueName="[fact_producao]" displayFolder="" count="0" memberValueDatatype="20" unbalanced="0"/>
    <cacheHierarchy uniqueName="[fact_producao].[Data_Key]" caption="Data_Key" attribute="1" defaultMemberUniqueName="[fact_producao].[Data_Key].[All]" allUniqueName="[fact_producao].[Data_Key].[All]" dimensionUniqueName="[fact_producao]" displayFolder="" count="0" memberValueDatatype="20" unbalanced="0"/>
    <cacheHierarchy uniqueName="[fact_producao].[ID_Turno]" caption="ID_Turno" attribute="1" defaultMemberUniqueName="[fact_producao].[ID_Turno].[All]" allUniqueName="[fact_producao].[ID_Turno].[All]" dimensionUniqueName="[fact_producao]" displayFolder="" count="0" memberValueDatatype="130" unbalanced="0"/>
    <cacheHierarchy uniqueName="[fact_producao].[ID_Linha]" caption="ID_Linha" attribute="1" defaultMemberUniqueName="[fact_producao].[ID_Linha].[All]" allUniqueName="[fact_producao].[ID_Linha].[All]" dimensionUniqueName="[fact_producao]" displayFolder="" count="0" memberValueDatatype="130" unbalanced="0"/>
    <cacheHierarchy uniqueName="[fact_producao].[SKU_Produto]" caption="SKU_Produto" attribute="1" defaultMemberUniqueName="[fact_producao].[SKU_Produto].[All]" allUniqueName="[fact_producao].[SKU_Produto].[All]" dimensionUniqueName="[fact_producao]" displayFolder="" count="0" memberValueDatatype="130" unbalanced="0"/>
    <cacheHierarchy uniqueName="[fact_producao].[Qtd_Planejada]" caption="Qtd_Planejada" attribute="1" defaultMemberUniqueName="[fact_producao].[Qtd_Planejada].[All]" allUniqueName="[fact_producao].[Qtd_Planejada].[All]" dimensionUniqueName="[fact_producao]" displayFolder="" count="0" memberValueDatatype="20" unbalanced="0"/>
    <cacheHierarchy uniqueName="[fact_producao].[Qtd_Produzida]" caption="Qtd_Produzida" attribute="1" defaultMemberUniqueName="[fact_producao].[Qtd_Produzida].[All]" allUniqueName="[fact_producao].[Qtd_Produzida].[All]" dimensionUniqueName="[fact_producao]" displayFolder="" count="0" memberValueDatatype="20" unbalanced="0"/>
    <cacheHierarchy uniqueName="[fact_producao].[Qtd_Refugo]" caption="Qtd_Refugo" attribute="1" defaultMemberUniqueName="[fact_producao].[Qtd_Refugo].[All]" allUniqueName="[fact_producao].[Qtd_Refugo].[All]" dimensionUniqueName="[fact_producao]" displayFolder="" count="0" memberValueDatatype="20" unbalanced="0"/>
    <cacheHierarchy uniqueName="[fact_producao].[Tempo_Operacao]" caption="Tempo_Operacao" attribute="1" defaultMemberUniqueName="[fact_producao].[Tempo_Operacao].[All]" allUniqueName="[fact_producao].[Tempo_Operacao].[All]" dimensionUniqueName="[fact_producao]" displayFolder="" count="0" memberValueDatatype="20" unbalanced="0"/>
    <cacheHierarchy uniqueName="[fact_producao].[Tempo_Parada]" caption="Tempo_Parada" attribute="1" defaultMemberUniqueName="[fact_producao].[Tempo_Parada].[All]" allUniqueName="[fact_producao].[Tempo_Parada].[All]" dimensionUniqueName="[fact_producao]" displayFolder="" count="0" memberValueDatatype="20" unbalanced="0"/>
    <cacheHierarchy uniqueName="[fact_producao].[ID_Motivo_Parada]" caption="ID_Motivo_Parada" attribute="1" defaultMemberUniqueName="[fact_producao].[ID_Motivo_Parada].[All]" allUniqueName="[fact_producao].[ID_Motivo_Parada].[All]" dimensionUniqueName="[fact_producao]" displayFolder="" count="0" memberValueDatatype="130" unbalanced="0"/>
    <cacheHierarchy uniqueName="[Kpis_Calculados].[ID_Linha]" caption="ID_Linha" attribute="1" defaultMemberUniqueName="[Kpis_Calculados].[ID_Linha].[All]" allUniqueName="[Kpis_Calculados].[ID_Linha].[All]" dimensionUniqueName="[Kpis_Calculados]" displayFolder="" count="0" memberValueDatatype="130" unbalanced="0"/>
    <cacheHierarchy uniqueName="[Kpis_Calculados].[Taxa_Refugo]" caption="Taxa_Refugo" attribute="1" defaultMemberUniqueName="[Kpis_Calculados].[Taxa_Refugo].[All]" allUniqueName="[Kpis_Calculados].[Taxa_Refugo].[All]" dimensionUniqueName="[Kpis_Calculados]" displayFolder="" count="0" memberValueDatatype="5" unbalanced="0"/>
    <cacheHierarchy uniqueName="[Kpis_Calculados].[Eficiencia_Producao]" caption="Eficiencia_Producao" attribute="1" defaultMemberUniqueName="[Kpis_Calculados].[Eficiencia_Producao].[All]" allUniqueName="[Kpis_Calculados].[Eficiencia_Producao].[All]" dimensionUniqueName="[Kpis_Calculados]" displayFolder="" count="0" memberValueDatatype="5" unbalanced="0"/>
    <cacheHierarchy uniqueName="[Kpis_Calculados].[Tempo_Medio_Parada]" caption="Tempo_Medio_Parada" attribute="1" defaultMemberUniqueName="[Kpis_Calculados].[Tempo_Medio_Parada].[All]" allUniqueName="[Kpis_Calculados].[Tempo_Medio_Parada].[All]" dimensionUniqueName="[Kpis_Calculados]" displayFolder="" count="0" memberValueDatatype="20" unbalanced="0"/>
    <cacheHierarchy uniqueName="[Measures].[Tempo Parada Total (min)]" caption="Tempo Parada Total (min)" measure="1" displayFolder="" measureGroup="fact_paradas" count="0"/>
    <cacheHierarchy uniqueName="[Measures].[__XL_Count fact_producao]" caption="__XL_Count fact_producao" measure="1" displayFolder="" measureGroup="fact_producao" count="0" hidden="1"/>
    <cacheHierarchy uniqueName="[Measures].[__XL_Count dim_Linhas]" caption="__XL_Count dim_Linhas" measure="1" displayFolder="" measureGroup="dim_Linhas" count="0" hidden="1"/>
    <cacheHierarchy uniqueName="[Measures].[__XL_Count dim_Paradas]" caption="__XL_Count dim_Paradas" measure="1" displayFolder="" measureGroup="dim_Paradas" count="0" hidden="1"/>
    <cacheHierarchy uniqueName="[Measures].[__XL_Count fact_paradas]" caption="__XL_Count fact_paradas" measure="1" displayFolder="" measureGroup="fact_paradas" count="0" hidden="1"/>
    <cacheHierarchy uniqueName="[Measures].[__XL_Count Kpis_Calculados]" caption="__XL_Count Kpis_Calculados" measure="1" displayFolder="" measureGroup="Kpis_Calculados" count="0" hidden="1"/>
    <cacheHierarchy uniqueName="[Measures].[__No measures defined]" caption="__No measures defined" measure="1" displayFolder="" count="0" hidden="1"/>
    <cacheHierarchy uniqueName="[Measures].[Soma de Qtd_Produzida]" caption="Soma de Qtd_Produzi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Qtd_Refugo]" caption="Soma de Qtd_Refugo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empo_Parada]" caption="Soma de Tempo_Para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Tempo_Parada 2]" caption="Soma de Tempo_Parada 2" measure="1" displayFolder="" measureGroup="fact_para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Taxa_Refugo]" caption="Soma de Taxa_Refugo" measure="1" displayFolder="" measureGroup="Kpis_Calculad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Eficiencia_Producao]" caption="Soma de Eficiencia_Producao" measure="1" displayFolder="" measureGroup="Kpis_Calculad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Tempo_Medio_Parada]" caption="Soma de Tempo_Medio_Parada" measure="1" displayFolder="" measureGroup="Kpis_Calculad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Linhas" uniqueName="[dim_Linhas]" caption="dim_Linhas"/>
    <dimension name="dim_Paradas" uniqueName="[dim_Paradas]" caption="dim_Paradas"/>
    <dimension name="fact_paradas" uniqueName="[fact_paradas]" caption="fact_paradas"/>
    <dimension name="fact_producao" uniqueName="[fact_producao]" caption="fact_producao"/>
    <dimension name="Kpis_Calculados" uniqueName="[Kpis_Calculados]" caption="Kpis_Calculados"/>
    <dimension measure="1" name="Measures" uniqueName="[Measures]" caption="Measures"/>
  </dimensions>
  <measureGroups count="5">
    <measureGroup name="dim_Linhas" caption="dim_Linhas"/>
    <measureGroup name="dim_Paradas" caption="dim_Paradas"/>
    <measureGroup name="fact_paradas" caption="fact_paradas"/>
    <measureGroup name="fact_producao" caption="fact_producao"/>
    <measureGroup name="Kpis_Calculados" caption="Kpis_Calculados"/>
  </measureGroups>
  <maps count="9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3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 Vieira" refreshedDate="46189.645632870372" backgroundQuery="1" createdVersion="8" refreshedVersion="8" minRefreshableVersion="3" recordCount="0" supportSubquery="1" supportAdvancedDrill="1" xr:uid="{33C948D5-4709-4B3D-9B7C-CF3B951CEECC}">
  <cacheSource type="external" connectionId="5"/>
  <cacheFields count="3">
    <cacheField name="[dim_Linhas].[Nome_Linha].[Nome_Linha]" caption="Nome_Linha" numFmtId="0" hierarchy="1" level="1">
      <sharedItems count="5">
        <s v="Linha Injeção E"/>
        <s v="Linha Montagem A"/>
        <s v="Linha Montagem B"/>
        <s v="Linha Montagem C"/>
        <s v="Linha Montagem D"/>
      </sharedItems>
    </cacheField>
    <cacheField name="[Measures].[Soma de Qtd_Produzida]" caption="Soma de Qtd_Produzida" numFmtId="0" hierarchy="32" level="32767"/>
    <cacheField name="[dim_Linhas].[ID_Linha].[ID_Linha]" caption="ID_Linha" numFmtId="0" level="1">
      <sharedItems containsSemiMixedTypes="0" containsNonDate="0" containsString="0"/>
    </cacheField>
  </cacheFields>
  <cacheHierarchies count="39">
    <cacheHierarchy uniqueName="[dim_Linhas].[ID_Linha]" caption="ID_Linha" attribute="1" defaultMemberUniqueName="[dim_Linhas].[ID_Linha].[All]" allUniqueName="[dim_Linhas].[ID_Linha].[All]" dimensionUniqueName="[dim_Linhas]" displayFolder="" count="2" memberValueDatatype="130" unbalanced="0">
      <fieldsUsage count="2">
        <fieldUsage x="-1"/>
        <fieldUsage x="2"/>
      </fieldsUsage>
    </cacheHierarchy>
    <cacheHierarchy uniqueName="[dim_Linhas].[Nome_Linha]" caption="Nome_Linha" attribute="1" defaultMemberUniqueName="[dim_Linhas].[Nome_Linha].[All]" allUniqueName="[dim_Linhas].[Nome_Linha].[All]" dimensionUniqueName="[dim_Linhas]" displayFolder="" count="2" memberValueDatatype="130" unbalanced="0">
      <fieldsUsage count="2">
        <fieldUsage x="-1"/>
        <fieldUsage x="0"/>
      </fieldsUsage>
    </cacheHierarchy>
    <cacheHierarchy uniqueName="[dim_Linhas].[Capacidade_Hora]" caption="Capacidade_Hora" attribute="1" defaultMemberUniqueName="[dim_Linhas].[Capacidade_Hora].[All]" allUniqueName="[dim_Linhas].[Capacidade_Hora].[All]" dimensionUniqueName="[dim_Linhas]" displayFolder="" count="0" memberValueDatatype="20" unbalanced="0"/>
    <cacheHierarchy uniqueName="[dim_Paradas].[ID_Motivo_Parada]" caption="ID_Motivo_Parada" attribute="1" defaultMemberUniqueName="[dim_Paradas].[ID_Motivo_Parada].[All]" allUniqueName="[dim_Paradas].[ID_Motivo_Parada].[All]" dimensionUniqueName="[dim_Paradas]" displayFolder="" count="0" memberValueDatatype="130" unbalanced="0"/>
    <cacheHierarchy uniqueName="[dim_Paradas].[Descricao]" caption="Descricao" attribute="1" defaultMemberUniqueName="[dim_Paradas].[Descricao].[All]" allUniqueName="[dim_Paradas].[Descricao].[All]" dimensionUniqueName="[dim_Paradas]" displayFolder="" count="0" memberValueDatatype="130" unbalanced="0"/>
    <cacheHierarchy uniqueName="[dim_Paradas].[Tipo_Parada]" caption="Tipo_Parada" attribute="1" defaultMemberUniqueName="[dim_Paradas].[Tipo_Parada].[All]" allUniqueName="[dim_Paradas].[Tipo_Parada].[All]" dimensionUniqueName="[dim_Paradas]" displayFolder="" count="0" memberValueDatatype="130" unbalanced="0"/>
    <cacheHierarchy uniqueName="[fact_paradas].[Data_Key]" caption="Data_Key" attribute="1" defaultMemberUniqueName="[fact_paradas].[Data_Key].[All]" allUniqueName="[fact_paradas].[Data_Key].[All]" dimensionUniqueName="[fact_paradas]" displayFolder="" count="0" memberValueDatatype="20" unbalanced="0"/>
    <cacheHierarchy uniqueName="[fact_paradas].[ID_Linha]" caption="ID_Linha" attribute="1" defaultMemberUniqueName="[fact_paradas].[ID_Linha].[All]" allUniqueName="[fact_paradas].[ID_Linha].[All]" dimensionUniqueName="[fact_paradas]" displayFolder="" count="0" memberValueDatatype="130" unbalanced="0"/>
    <cacheHierarchy uniqueName="[fact_paradas].[Tempo_Parada]" caption="Tempo_Parada" attribute="1" defaultMemberUniqueName="[fact_paradas].[Tempo_Parada].[All]" allUniqueName="[fact_paradas].[Tempo_Parada].[All]" dimensionUniqueName="[fact_paradas]" displayFolder="" count="0" memberValueDatatype="20" unbalanced="0"/>
    <cacheHierarchy uniqueName="[fact_paradas].[ID_Motivo_Parada]" caption="ID_Motivo_Parada" attribute="1" defaultMemberUniqueName="[fact_paradas].[ID_Motivo_Parada].[All]" allUniqueName="[fact_paradas].[ID_Motivo_Parada].[All]" dimensionUniqueName="[fact_paradas]" displayFolder="" count="0" memberValueDatatype="130" unbalanced="0"/>
    <cacheHierarchy uniqueName="[fact_producao].[ID_Fato]" caption="ID_Fato" attribute="1" defaultMemberUniqueName="[fact_producao].[ID_Fato].[All]" allUniqueName="[fact_producao].[ID_Fato].[All]" dimensionUniqueName="[fact_producao]" displayFolder="" count="0" memberValueDatatype="20" unbalanced="0"/>
    <cacheHierarchy uniqueName="[fact_producao].[Data_Key]" caption="Data_Key" attribute="1" defaultMemberUniqueName="[fact_producao].[Data_Key].[All]" allUniqueName="[fact_producao].[Data_Key].[All]" dimensionUniqueName="[fact_producao]" displayFolder="" count="0" memberValueDatatype="20" unbalanced="0"/>
    <cacheHierarchy uniqueName="[fact_producao].[ID_Turno]" caption="ID_Turno" attribute="1" defaultMemberUniqueName="[fact_producao].[ID_Turno].[All]" allUniqueName="[fact_producao].[ID_Turno].[All]" dimensionUniqueName="[fact_producao]" displayFolder="" count="0" memberValueDatatype="130" unbalanced="0"/>
    <cacheHierarchy uniqueName="[fact_producao].[ID_Linha]" caption="ID_Linha" attribute="1" defaultMemberUniqueName="[fact_producao].[ID_Linha].[All]" allUniqueName="[fact_producao].[ID_Linha].[All]" dimensionUniqueName="[fact_producao]" displayFolder="" count="0" memberValueDatatype="130" unbalanced="0"/>
    <cacheHierarchy uniqueName="[fact_producao].[SKU_Produto]" caption="SKU_Produto" attribute="1" defaultMemberUniqueName="[fact_producao].[SKU_Produto].[All]" allUniqueName="[fact_producao].[SKU_Produto].[All]" dimensionUniqueName="[fact_producao]" displayFolder="" count="0" memberValueDatatype="130" unbalanced="0"/>
    <cacheHierarchy uniqueName="[fact_producao].[Qtd_Planejada]" caption="Qtd_Planejada" attribute="1" defaultMemberUniqueName="[fact_producao].[Qtd_Planejada].[All]" allUniqueName="[fact_producao].[Qtd_Planejada].[All]" dimensionUniqueName="[fact_producao]" displayFolder="" count="0" memberValueDatatype="20" unbalanced="0"/>
    <cacheHierarchy uniqueName="[fact_producao].[Qtd_Produzida]" caption="Qtd_Produzida" attribute="1" defaultMemberUniqueName="[fact_producao].[Qtd_Produzida].[All]" allUniqueName="[fact_producao].[Qtd_Produzida].[All]" dimensionUniqueName="[fact_producao]" displayFolder="" count="0" memberValueDatatype="20" unbalanced="0"/>
    <cacheHierarchy uniqueName="[fact_producao].[Qtd_Refugo]" caption="Qtd_Refugo" attribute="1" defaultMemberUniqueName="[fact_producao].[Qtd_Refugo].[All]" allUniqueName="[fact_producao].[Qtd_Refugo].[All]" dimensionUniqueName="[fact_producao]" displayFolder="" count="0" memberValueDatatype="20" unbalanced="0"/>
    <cacheHierarchy uniqueName="[fact_producao].[Tempo_Operacao]" caption="Tempo_Operacao" attribute="1" defaultMemberUniqueName="[fact_producao].[Tempo_Operacao].[All]" allUniqueName="[fact_producao].[Tempo_Operacao].[All]" dimensionUniqueName="[fact_producao]" displayFolder="" count="0" memberValueDatatype="20" unbalanced="0"/>
    <cacheHierarchy uniqueName="[fact_producao].[Tempo_Parada]" caption="Tempo_Parada" attribute="1" defaultMemberUniqueName="[fact_producao].[Tempo_Parada].[All]" allUniqueName="[fact_producao].[Tempo_Parada].[All]" dimensionUniqueName="[fact_producao]" displayFolder="" count="0" memberValueDatatype="20" unbalanced="0"/>
    <cacheHierarchy uniqueName="[fact_producao].[ID_Motivo_Parada]" caption="ID_Motivo_Parada" attribute="1" defaultMemberUniqueName="[fact_producao].[ID_Motivo_Parada].[All]" allUniqueName="[fact_producao].[ID_Motivo_Parada].[All]" dimensionUniqueName="[fact_producao]" displayFolder="" count="0" memberValueDatatype="130" unbalanced="0"/>
    <cacheHierarchy uniqueName="[Kpis_Calculados].[ID_Linha]" caption="ID_Linha" attribute="1" defaultMemberUniqueName="[Kpis_Calculados].[ID_Linha].[All]" allUniqueName="[Kpis_Calculados].[ID_Linha].[All]" dimensionUniqueName="[Kpis_Calculados]" displayFolder="" count="0" memberValueDatatype="130" unbalanced="0"/>
    <cacheHierarchy uniqueName="[Kpis_Calculados].[Taxa_Refugo]" caption="Taxa_Refugo" attribute="1" defaultMemberUniqueName="[Kpis_Calculados].[Taxa_Refugo].[All]" allUniqueName="[Kpis_Calculados].[Taxa_Refugo].[All]" dimensionUniqueName="[Kpis_Calculados]" displayFolder="" count="0" memberValueDatatype="5" unbalanced="0"/>
    <cacheHierarchy uniqueName="[Kpis_Calculados].[Eficiencia_Producao]" caption="Eficiencia_Producao" attribute="1" defaultMemberUniqueName="[Kpis_Calculados].[Eficiencia_Producao].[All]" allUniqueName="[Kpis_Calculados].[Eficiencia_Producao].[All]" dimensionUniqueName="[Kpis_Calculados]" displayFolder="" count="0" memberValueDatatype="5" unbalanced="0"/>
    <cacheHierarchy uniqueName="[Kpis_Calculados].[Tempo_Medio_Parada]" caption="Tempo_Medio_Parada" attribute="1" defaultMemberUniqueName="[Kpis_Calculados].[Tempo_Medio_Parada].[All]" allUniqueName="[Kpis_Calculados].[Tempo_Medio_Parada].[All]" dimensionUniqueName="[Kpis_Calculados]" displayFolder="" count="0" memberValueDatatype="20" unbalanced="0"/>
    <cacheHierarchy uniqueName="[Measures].[Tempo Parada Total (min)]" caption="Tempo Parada Total (min)" measure="1" displayFolder="" measureGroup="fact_paradas" count="0"/>
    <cacheHierarchy uniqueName="[Measures].[__XL_Count fact_producao]" caption="__XL_Count fact_producao" measure="1" displayFolder="" measureGroup="fact_producao" count="0" hidden="1"/>
    <cacheHierarchy uniqueName="[Measures].[__XL_Count dim_Linhas]" caption="__XL_Count dim_Linhas" measure="1" displayFolder="" measureGroup="dim_Linhas" count="0" hidden="1"/>
    <cacheHierarchy uniqueName="[Measures].[__XL_Count dim_Paradas]" caption="__XL_Count dim_Paradas" measure="1" displayFolder="" measureGroup="dim_Paradas" count="0" hidden="1"/>
    <cacheHierarchy uniqueName="[Measures].[__XL_Count fact_paradas]" caption="__XL_Count fact_paradas" measure="1" displayFolder="" measureGroup="fact_paradas" count="0" hidden="1"/>
    <cacheHierarchy uniqueName="[Measures].[__XL_Count Kpis_Calculados]" caption="__XL_Count Kpis_Calculados" measure="1" displayFolder="" measureGroup="Kpis_Calculados" count="0" hidden="1"/>
    <cacheHierarchy uniqueName="[Measures].[__No measures defined]" caption="__No measures defined" measure="1" displayFolder="" count="0" hidden="1"/>
    <cacheHierarchy uniqueName="[Measures].[Soma de Qtd_Produzida]" caption="Soma de Qtd_Produzida" measure="1" displayFolder="" measureGroup="fact_produca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Qtd_Refugo]" caption="Soma de Qtd_Refugo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empo_Parada]" caption="Soma de Tempo_Para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Tempo_Parada 2]" caption="Soma de Tempo_Parada 2" measure="1" displayFolder="" measureGroup="fact_para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Taxa_Refugo]" caption="Soma de Taxa_Refug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Eficiencia_Producao]" caption="Soma de Eficiencia_Produca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Tempo_Medio_Parada]" caption="Soma de Tempo_Medio_Parada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Linhas" uniqueName="[dim_Linhas]" caption="dim_Linhas"/>
    <dimension name="dim_Paradas" uniqueName="[dim_Paradas]" caption="dim_Paradas"/>
    <dimension name="fact_paradas" uniqueName="[fact_paradas]" caption="fact_paradas"/>
    <dimension name="fact_producao" uniqueName="[fact_producao]" caption="fact_producao"/>
    <dimension name="Kpis_Calculados" uniqueName="[Kpis_Calculados]" caption="Kpis_Calculados"/>
    <dimension measure="1" name="Measures" uniqueName="[Measures]" caption="Measures"/>
  </dimensions>
  <measureGroups count="5">
    <measureGroup name="dim_Linhas" caption="dim_Linhas"/>
    <measureGroup name="dim_Paradas" caption="dim_Paradas"/>
    <measureGroup name="fact_paradas" caption="fact_paradas"/>
    <measureGroup name="fact_producao" caption="fact_producao"/>
    <measureGroup name="Kpis_Calculados" caption="Kpis_Calculados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 Vieira" refreshedDate="46189.645633564818" backgroundQuery="1" createdVersion="8" refreshedVersion="8" minRefreshableVersion="3" recordCount="0" supportSubquery="1" supportAdvancedDrill="1" xr:uid="{15A2728B-7F0A-4762-9A8A-CF972DFDD428}">
  <cacheSource type="external" connectionId="5"/>
  <cacheFields count="3">
    <cacheField name="[dim_Linhas].[Nome_Linha].[Nome_Linha]" caption="Nome_Linha" numFmtId="0" hierarchy="1" level="1">
      <sharedItems count="5">
        <s v="Linha Injeção E"/>
        <s v="Linha Montagem A"/>
        <s v="Linha Montagem B"/>
        <s v="Linha Montagem C"/>
        <s v="Linha Montagem D"/>
      </sharedItems>
    </cacheField>
    <cacheField name="[Measures].[Soma de Qtd_Refugo]" caption="Soma de Qtd_Refugo" numFmtId="0" hierarchy="33" level="32767"/>
    <cacheField name="[dim_Linhas].[ID_Linha].[ID_Linha]" caption="ID_Linha" numFmtId="0" level="1">
      <sharedItems containsSemiMixedTypes="0" containsNonDate="0" containsString="0"/>
    </cacheField>
  </cacheFields>
  <cacheHierarchies count="39">
    <cacheHierarchy uniqueName="[dim_Linhas].[ID_Linha]" caption="ID_Linha" attribute="1" defaultMemberUniqueName="[dim_Linhas].[ID_Linha].[All]" allUniqueName="[dim_Linhas].[ID_Linha].[All]" dimensionUniqueName="[dim_Linhas]" displayFolder="" count="2" memberValueDatatype="130" unbalanced="0">
      <fieldsUsage count="2">
        <fieldUsage x="-1"/>
        <fieldUsage x="2"/>
      </fieldsUsage>
    </cacheHierarchy>
    <cacheHierarchy uniqueName="[dim_Linhas].[Nome_Linha]" caption="Nome_Linha" attribute="1" defaultMemberUniqueName="[dim_Linhas].[Nome_Linha].[All]" allUniqueName="[dim_Linhas].[Nome_Linha].[All]" dimensionUniqueName="[dim_Linhas]" displayFolder="" count="2" memberValueDatatype="130" unbalanced="0">
      <fieldsUsage count="2">
        <fieldUsage x="-1"/>
        <fieldUsage x="0"/>
      </fieldsUsage>
    </cacheHierarchy>
    <cacheHierarchy uniqueName="[dim_Linhas].[Capacidade_Hora]" caption="Capacidade_Hora" attribute="1" defaultMemberUniqueName="[dim_Linhas].[Capacidade_Hora].[All]" allUniqueName="[dim_Linhas].[Capacidade_Hora].[All]" dimensionUniqueName="[dim_Linhas]" displayFolder="" count="0" memberValueDatatype="20" unbalanced="0"/>
    <cacheHierarchy uniqueName="[dim_Paradas].[ID_Motivo_Parada]" caption="ID_Motivo_Parada" attribute="1" defaultMemberUniqueName="[dim_Paradas].[ID_Motivo_Parada].[All]" allUniqueName="[dim_Paradas].[ID_Motivo_Parada].[All]" dimensionUniqueName="[dim_Paradas]" displayFolder="" count="0" memberValueDatatype="130" unbalanced="0"/>
    <cacheHierarchy uniqueName="[dim_Paradas].[Descricao]" caption="Descricao" attribute="1" defaultMemberUniqueName="[dim_Paradas].[Descricao].[All]" allUniqueName="[dim_Paradas].[Descricao].[All]" dimensionUniqueName="[dim_Paradas]" displayFolder="" count="0" memberValueDatatype="130" unbalanced="0"/>
    <cacheHierarchy uniqueName="[dim_Paradas].[Tipo_Parada]" caption="Tipo_Parada" attribute="1" defaultMemberUniqueName="[dim_Paradas].[Tipo_Parada].[All]" allUniqueName="[dim_Paradas].[Tipo_Parada].[All]" dimensionUniqueName="[dim_Paradas]" displayFolder="" count="0" memberValueDatatype="130" unbalanced="0"/>
    <cacheHierarchy uniqueName="[fact_paradas].[Data_Key]" caption="Data_Key" attribute="1" defaultMemberUniqueName="[fact_paradas].[Data_Key].[All]" allUniqueName="[fact_paradas].[Data_Key].[All]" dimensionUniqueName="[fact_paradas]" displayFolder="" count="0" memberValueDatatype="20" unbalanced="0"/>
    <cacheHierarchy uniqueName="[fact_paradas].[ID_Linha]" caption="ID_Linha" attribute="1" defaultMemberUniqueName="[fact_paradas].[ID_Linha].[All]" allUniqueName="[fact_paradas].[ID_Linha].[All]" dimensionUniqueName="[fact_paradas]" displayFolder="" count="0" memberValueDatatype="130" unbalanced="0"/>
    <cacheHierarchy uniqueName="[fact_paradas].[Tempo_Parada]" caption="Tempo_Parada" attribute="1" defaultMemberUniqueName="[fact_paradas].[Tempo_Parada].[All]" allUniqueName="[fact_paradas].[Tempo_Parada].[All]" dimensionUniqueName="[fact_paradas]" displayFolder="" count="0" memberValueDatatype="20" unbalanced="0"/>
    <cacheHierarchy uniqueName="[fact_paradas].[ID_Motivo_Parada]" caption="ID_Motivo_Parada" attribute="1" defaultMemberUniqueName="[fact_paradas].[ID_Motivo_Parada].[All]" allUniqueName="[fact_paradas].[ID_Motivo_Parada].[All]" dimensionUniqueName="[fact_paradas]" displayFolder="" count="0" memberValueDatatype="130" unbalanced="0"/>
    <cacheHierarchy uniqueName="[fact_producao].[ID_Fato]" caption="ID_Fato" attribute="1" defaultMemberUniqueName="[fact_producao].[ID_Fato].[All]" allUniqueName="[fact_producao].[ID_Fato].[All]" dimensionUniqueName="[fact_producao]" displayFolder="" count="0" memberValueDatatype="20" unbalanced="0"/>
    <cacheHierarchy uniqueName="[fact_producao].[Data_Key]" caption="Data_Key" attribute="1" defaultMemberUniqueName="[fact_producao].[Data_Key].[All]" allUniqueName="[fact_producao].[Data_Key].[All]" dimensionUniqueName="[fact_producao]" displayFolder="" count="0" memberValueDatatype="20" unbalanced="0"/>
    <cacheHierarchy uniqueName="[fact_producao].[ID_Turno]" caption="ID_Turno" attribute="1" defaultMemberUniqueName="[fact_producao].[ID_Turno].[All]" allUniqueName="[fact_producao].[ID_Turno].[All]" dimensionUniqueName="[fact_producao]" displayFolder="" count="0" memberValueDatatype="130" unbalanced="0"/>
    <cacheHierarchy uniqueName="[fact_producao].[ID_Linha]" caption="ID_Linha" attribute="1" defaultMemberUniqueName="[fact_producao].[ID_Linha].[All]" allUniqueName="[fact_producao].[ID_Linha].[All]" dimensionUniqueName="[fact_producao]" displayFolder="" count="0" memberValueDatatype="130" unbalanced="0"/>
    <cacheHierarchy uniqueName="[fact_producao].[SKU_Produto]" caption="SKU_Produto" attribute="1" defaultMemberUniqueName="[fact_producao].[SKU_Produto].[All]" allUniqueName="[fact_producao].[SKU_Produto].[All]" dimensionUniqueName="[fact_producao]" displayFolder="" count="0" memberValueDatatype="130" unbalanced="0"/>
    <cacheHierarchy uniqueName="[fact_producao].[Qtd_Planejada]" caption="Qtd_Planejada" attribute="1" defaultMemberUniqueName="[fact_producao].[Qtd_Planejada].[All]" allUniqueName="[fact_producao].[Qtd_Planejada].[All]" dimensionUniqueName="[fact_producao]" displayFolder="" count="0" memberValueDatatype="20" unbalanced="0"/>
    <cacheHierarchy uniqueName="[fact_producao].[Qtd_Produzida]" caption="Qtd_Produzida" attribute="1" defaultMemberUniqueName="[fact_producao].[Qtd_Produzida].[All]" allUniqueName="[fact_producao].[Qtd_Produzida].[All]" dimensionUniqueName="[fact_producao]" displayFolder="" count="0" memberValueDatatype="20" unbalanced="0"/>
    <cacheHierarchy uniqueName="[fact_producao].[Qtd_Refugo]" caption="Qtd_Refugo" attribute="1" defaultMemberUniqueName="[fact_producao].[Qtd_Refugo].[All]" allUniqueName="[fact_producao].[Qtd_Refugo].[All]" dimensionUniqueName="[fact_producao]" displayFolder="" count="0" memberValueDatatype="20" unbalanced="0"/>
    <cacheHierarchy uniqueName="[fact_producao].[Tempo_Operacao]" caption="Tempo_Operacao" attribute="1" defaultMemberUniqueName="[fact_producao].[Tempo_Operacao].[All]" allUniqueName="[fact_producao].[Tempo_Operacao].[All]" dimensionUniqueName="[fact_producao]" displayFolder="" count="0" memberValueDatatype="20" unbalanced="0"/>
    <cacheHierarchy uniqueName="[fact_producao].[Tempo_Parada]" caption="Tempo_Parada" attribute="1" defaultMemberUniqueName="[fact_producao].[Tempo_Parada].[All]" allUniqueName="[fact_producao].[Tempo_Parada].[All]" dimensionUniqueName="[fact_producao]" displayFolder="" count="0" memberValueDatatype="20" unbalanced="0"/>
    <cacheHierarchy uniqueName="[fact_producao].[ID_Motivo_Parada]" caption="ID_Motivo_Parada" attribute="1" defaultMemberUniqueName="[fact_producao].[ID_Motivo_Parada].[All]" allUniqueName="[fact_producao].[ID_Motivo_Parada].[All]" dimensionUniqueName="[fact_producao]" displayFolder="" count="0" memberValueDatatype="130" unbalanced="0"/>
    <cacheHierarchy uniqueName="[Kpis_Calculados].[ID_Linha]" caption="ID_Linha" attribute="1" defaultMemberUniqueName="[Kpis_Calculados].[ID_Linha].[All]" allUniqueName="[Kpis_Calculados].[ID_Linha].[All]" dimensionUniqueName="[Kpis_Calculados]" displayFolder="" count="0" memberValueDatatype="130" unbalanced="0"/>
    <cacheHierarchy uniqueName="[Kpis_Calculados].[Taxa_Refugo]" caption="Taxa_Refugo" attribute="1" defaultMemberUniqueName="[Kpis_Calculados].[Taxa_Refugo].[All]" allUniqueName="[Kpis_Calculados].[Taxa_Refugo].[All]" dimensionUniqueName="[Kpis_Calculados]" displayFolder="" count="0" memberValueDatatype="5" unbalanced="0"/>
    <cacheHierarchy uniqueName="[Kpis_Calculados].[Eficiencia_Producao]" caption="Eficiencia_Producao" attribute="1" defaultMemberUniqueName="[Kpis_Calculados].[Eficiencia_Producao].[All]" allUniqueName="[Kpis_Calculados].[Eficiencia_Producao].[All]" dimensionUniqueName="[Kpis_Calculados]" displayFolder="" count="0" memberValueDatatype="5" unbalanced="0"/>
    <cacheHierarchy uniqueName="[Kpis_Calculados].[Tempo_Medio_Parada]" caption="Tempo_Medio_Parada" attribute="1" defaultMemberUniqueName="[Kpis_Calculados].[Tempo_Medio_Parada].[All]" allUniqueName="[Kpis_Calculados].[Tempo_Medio_Parada].[All]" dimensionUniqueName="[Kpis_Calculados]" displayFolder="" count="0" memberValueDatatype="20" unbalanced="0"/>
    <cacheHierarchy uniqueName="[Measures].[Tempo Parada Total (min)]" caption="Tempo Parada Total (min)" measure="1" displayFolder="" measureGroup="fact_paradas" count="0"/>
    <cacheHierarchy uniqueName="[Measures].[__XL_Count fact_producao]" caption="__XL_Count fact_producao" measure="1" displayFolder="" measureGroup="fact_producao" count="0" hidden="1"/>
    <cacheHierarchy uniqueName="[Measures].[__XL_Count dim_Linhas]" caption="__XL_Count dim_Linhas" measure="1" displayFolder="" measureGroup="dim_Linhas" count="0" hidden="1"/>
    <cacheHierarchy uniqueName="[Measures].[__XL_Count dim_Paradas]" caption="__XL_Count dim_Paradas" measure="1" displayFolder="" measureGroup="dim_Paradas" count="0" hidden="1"/>
    <cacheHierarchy uniqueName="[Measures].[__XL_Count fact_paradas]" caption="__XL_Count fact_paradas" measure="1" displayFolder="" measureGroup="fact_paradas" count="0" hidden="1"/>
    <cacheHierarchy uniqueName="[Measures].[__XL_Count Kpis_Calculados]" caption="__XL_Count Kpis_Calculados" measure="1" displayFolder="" measureGroup="Kpis_Calculados" count="0" hidden="1"/>
    <cacheHierarchy uniqueName="[Measures].[__No measures defined]" caption="__No measures defined" measure="1" displayFolder="" count="0" hidden="1"/>
    <cacheHierarchy uniqueName="[Measures].[Soma de Qtd_Produzida]" caption="Soma de Qtd_Produzi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Qtd_Refugo]" caption="Soma de Qtd_Refugo" measure="1" displayFolder="" measureGroup="fact_produca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empo_Parada]" caption="Soma de Tempo_Para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Tempo_Parada 2]" caption="Soma de Tempo_Parada 2" measure="1" displayFolder="" measureGroup="fact_para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Taxa_Refugo]" caption="Soma de Taxa_Refug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Eficiencia_Producao]" caption="Soma de Eficiencia_Produca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Tempo_Medio_Parada]" caption="Soma de Tempo_Medio_Parada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dim_Linhas" uniqueName="[dim_Linhas]" caption="dim_Linhas"/>
    <dimension name="dim_Paradas" uniqueName="[dim_Paradas]" caption="dim_Paradas"/>
    <dimension name="fact_paradas" uniqueName="[fact_paradas]" caption="fact_paradas"/>
    <dimension name="fact_producao" uniqueName="[fact_producao]" caption="fact_producao"/>
    <dimension name="Kpis_Calculados" uniqueName="[Kpis_Calculados]" caption="Kpis_Calculados"/>
    <dimension measure="1" name="Measures" uniqueName="[Measures]" caption="Measures"/>
  </dimensions>
  <measureGroups count="5">
    <measureGroup name="dim_Linhas" caption="dim_Linhas"/>
    <measureGroup name="dim_Paradas" caption="dim_Paradas"/>
    <measureGroup name="fact_paradas" caption="fact_paradas"/>
    <measureGroup name="fact_producao" caption="fact_producao"/>
    <measureGroup name="Kpis_Calculados" caption="Kpis_Calculados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 Vieira" refreshedDate="46186.796885069445" backgroundQuery="1" createdVersion="3" refreshedVersion="8" minRefreshableVersion="3" recordCount="0" supportSubquery="1" supportAdvancedDrill="1" xr:uid="{BBE4C898-C06E-4D1C-96D3-E69BE0495DFA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dim_Linhas].[ID_Linha]" caption="ID_Linha" attribute="1" defaultMemberUniqueName="[dim_Linhas].[ID_Linha].[All]" allUniqueName="[dim_Linhas].[ID_Linha].[All]" dimensionUniqueName="[dim_Linhas]" displayFolder="" count="2" memberValueDatatype="130" unbalanced="0"/>
    <cacheHierarchy uniqueName="[dim_Linhas].[Nome_Linha]" caption="Nome_Linha" attribute="1" defaultMemberUniqueName="[dim_Linhas].[Nome_Linha].[All]" allUniqueName="[dim_Linhas].[Nome_Linha].[All]" dimensionUniqueName="[dim_Linhas]" displayFolder="" count="0" memberValueDatatype="130" unbalanced="0"/>
    <cacheHierarchy uniqueName="[dim_Linhas].[Capacidade_Hora]" caption="Capacidade_Hora" attribute="1" defaultMemberUniqueName="[dim_Linhas].[Capacidade_Hora].[All]" allUniqueName="[dim_Linhas].[Capacidade_Hora].[All]" dimensionUniqueName="[dim_Linhas]" displayFolder="" count="0" memberValueDatatype="20" unbalanced="0"/>
    <cacheHierarchy uniqueName="[dim_Paradas].[ID_Motivo_Parada]" caption="ID_Motivo_Parada" attribute="1" defaultMemberUniqueName="[dim_Paradas].[ID_Motivo_Parada].[All]" allUniqueName="[dim_Paradas].[ID_Motivo_Parada].[All]" dimensionUniqueName="[dim_Paradas]" displayFolder="" count="0" memberValueDatatype="130" unbalanced="0"/>
    <cacheHierarchy uniqueName="[dim_Paradas].[Descricao]" caption="Descricao" attribute="1" defaultMemberUniqueName="[dim_Paradas].[Descricao].[All]" allUniqueName="[dim_Paradas].[Descricao].[All]" dimensionUniqueName="[dim_Paradas]" displayFolder="" count="0" memberValueDatatype="130" unbalanced="0"/>
    <cacheHierarchy uniqueName="[dim_Paradas].[Tipo_Parada]" caption="Tipo_Parada" attribute="1" defaultMemberUniqueName="[dim_Paradas].[Tipo_Parada].[All]" allUniqueName="[dim_Paradas].[Tipo_Parada].[All]" dimensionUniqueName="[dim_Paradas]" displayFolder="" count="0" memberValueDatatype="130" unbalanced="0"/>
    <cacheHierarchy uniqueName="[fact_paradas].[Data_Key]" caption="Data_Key" attribute="1" defaultMemberUniqueName="[fact_paradas].[Data_Key].[All]" allUniqueName="[fact_paradas].[Data_Key].[All]" dimensionUniqueName="[fact_paradas]" displayFolder="" count="0" memberValueDatatype="20" unbalanced="0"/>
    <cacheHierarchy uniqueName="[fact_paradas].[ID_Linha]" caption="ID_Linha" attribute="1" defaultMemberUniqueName="[fact_paradas].[ID_Linha].[All]" allUniqueName="[fact_paradas].[ID_Linha].[All]" dimensionUniqueName="[fact_paradas]" displayFolder="" count="0" memberValueDatatype="130" unbalanced="0"/>
    <cacheHierarchy uniqueName="[fact_paradas].[Tempo_Parada]" caption="Tempo_Parada" attribute="1" defaultMemberUniqueName="[fact_paradas].[Tempo_Parada].[All]" allUniqueName="[fact_paradas].[Tempo_Parada].[All]" dimensionUniqueName="[fact_paradas]" displayFolder="" count="0" memberValueDatatype="20" unbalanced="0"/>
    <cacheHierarchy uniqueName="[fact_paradas].[ID_Motivo_Parada]" caption="ID_Motivo_Parada" attribute="1" defaultMemberUniqueName="[fact_paradas].[ID_Motivo_Parada].[All]" allUniqueName="[fact_paradas].[ID_Motivo_Parada].[All]" dimensionUniqueName="[fact_paradas]" displayFolder="" count="0" memberValueDatatype="130" unbalanced="0"/>
    <cacheHierarchy uniqueName="[fact_producao].[ID_Fato]" caption="ID_Fato" attribute="1" defaultMemberUniqueName="[fact_producao].[ID_Fato].[All]" allUniqueName="[fact_producao].[ID_Fato].[All]" dimensionUniqueName="[fact_producao]" displayFolder="" count="0" memberValueDatatype="20" unbalanced="0"/>
    <cacheHierarchy uniqueName="[fact_producao].[Data_Key]" caption="Data_Key" attribute="1" defaultMemberUniqueName="[fact_producao].[Data_Key].[All]" allUniqueName="[fact_producao].[Data_Key].[All]" dimensionUniqueName="[fact_producao]" displayFolder="" count="0" memberValueDatatype="20" unbalanced="0"/>
    <cacheHierarchy uniqueName="[fact_producao].[ID_Turno]" caption="ID_Turno" attribute="1" defaultMemberUniqueName="[fact_producao].[ID_Turno].[All]" allUniqueName="[fact_producao].[ID_Turno].[All]" dimensionUniqueName="[fact_producao]" displayFolder="" count="0" memberValueDatatype="130" unbalanced="0"/>
    <cacheHierarchy uniqueName="[fact_producao].[ID_Linha]" caption="ID_Linha" attribute="1" defaultMemberUniqueName="[fact_producao].[ID_Linha].[All]" allUniqueName="[fact_producao].[ID_Linha].[All]" dimensionUniqueName="[fact_producao]" displayFolder="" count="0" memberValueDatatype="130" unbalanced="0"/>
    <cacheHierarchy uniqueName="[fact_producao].[SKU_Produto]" caption="SKU_Produto" attribute="1" defaultMemberUniqueName="[fact_producao].[SKU_Produto].[All]" allUniqueName="[fact_producao].[SKU_Produto].[All]" dimensionUniqueName="[fact_producao]" displayFolder="" count="0" memberValueDatatype="130" unbalanced="0"/>
    <cacheHierarchy uniqueName="[fact_producao].[Qtd_Planejada]" caption="Qtd_Planejada" attribute="1" defaultMemberUniqueName="[fact_producao].[Qtd_Planejada].[All]" allUniqueName="[fact_producao].[Qtd_Planejada].[All]" dimensionUniqueName="[fact_producao]" displayFolder="" count="0" memberValueDatatype="20" unbalanced="0"/>
    <cacheHierarchy uniqueName="[fact_producao].[Qtd_Produzida]" caption="Qtd_Produzida" attribute="1" defaultMemberUniqueName="[fact_producao].[Qtd_Produzida].[All]" allUniqueName="[fact_producao].[Qtd_Produzida].[All]" dimensionUniqueName="[fact_producao]" displayFolder="" count="0" memberValueDatatype="20" unbalanced="0"/>
    <cacheHierarchy uniqueName="[fact_producao].[Qtd_Refugo]" caption="Qtd_Refugo" attribute="1" defaultMemberUniqueName="[fact_producao].[Qtd_Refugo].[All]" allUniqueName="[fact_producao].[Qtd_Refugo].[All]" dimensionUniqueName="[fact_producao]" displayFolder="" count="0" memberValueDatatype="20" unbalanced="0"/>
    <cacheHierarchy uniqueName="[fact_producao].[Tempo_Operacao]" caption="Tempo_Operacao" attribute="1" defaultMemberUniqueName="[fact_producao].[Tempo_Operacao].[All]" allUniqueName="[fact_producao].[Tempo_Operacao].[All]" dimensionUniqueName="[fact_producao]" displayFolder="" count="0" memberValueDatatype="20" unbalanced="0"/>
    <cacheHierarchy uniqueName="[fact_producao].[Tempo_Parada]" caption="Tempo_Parada" attribute="1" defaultMemberUniqueName="[fact_producao].[Tempo_Parada].[All]" allUniqueName="[fact_producao].[Tempo_Parada].[All]" dimensionUniqueName="[fact_producao]" displayFolder="" count="0" memberValueDatatype="20" unbalanced="0"/>
    <cacheHierarchy uniqueName="[fact_producao].[ID_Motivo_Parada]" caption="ID_Motivo_Parada" attribute="1" defaultMemberUniqueName="[fact_producao].[ID_Motivo_Parada].[All]" allUniqueName="[fact_producao].[ID_Motivo_Parada].[All]" dimensionUniqueName="[fact_producao]" displayFolder="" count="0" memberValueDatatype="130" unbalanced="0"/>
    <cacheHierarchy uniqueName="[Kpis_Calculados].[ID_Linha]" caption="ID_Linha" attribute="1" defaultMemberUniqueName="[Kpis_Calculados].[ID_Linha].[All]" allUniqueName="[Kpis_Calculados].[ID_Linha].[All]" dimensionUniqueName="[Kpis_Calculados]" displayFolder="" count="0" memberValueDatatype="130" unbalanced="0"/>
    <cacheHierarchy uniqueName="[Kpis_Calculados].[Taxa_Refugo]" caption="Taxa_Refugo" attribute="1" defaultMemberUniqueName="[Kpis_Calculados].[Taxa_Refugo].[All]" allUniqueName="[Kpis_Calculados].[Taxa_Refugo].[All]" dimensionUniqueName="[Kpis_Calculados]" displayFolder="" count="0" memberValueDatatype="5" unbalanced="0"/>
    <cacheHierarchy uniqueName="[Kpis_Calculados].[Eficiencia_Producao]" caption="Eficiencia_Producao" attribute="1" defaultMemberUniqueName="[Kpis_Calculados].[Eficiencia_Producao].[All]" allUniqueName="[Kpis_Calculados].[Eficiencia_Producao].[All]" dimensionUniqueName="[Kpis_Calculados]" displayFolder="" count="0" memberValueDatatype="5" unbalanced="0"/>
    <cacheHierarchy uniqueName="[Kpis_Calculados].[Tempo_Medio_Parada]" caption="Tempo_Medio_Parada" attribute="1" defaultMemberUniqueName="[Kpis_Calculados].[Tempo_Medio_Parada].[All]" allUniqueName="[Kpis_Calculados].[Tempo_Medio_Parada].[All]" dimensionUniqueName="[Kpis_Calculados]" displayFolder="" count="0" memberValueDatatype="20" unbalanced="0"/>
    <cacheHierarchy uniqueName="[Measures].[Tempo Parada Total (min)]" caption="Tempo Parada Total (min)" measure="1" displayFolder="" measureGroup="fact_paradas" count="0"/>
    <cacheHierarchy uniqueName="[Measures].[__XL_Count fact_producao]" caption="__XL_Count fact_producao" measure="1" displayFolder="" measureGroup="fact_producao" count="0" hidden="1"/>
    <cacheHierarchy uniqueName="[Measures].[__XL_Count dim_Linhas]" caption="__XL_Count dim_Linhas" measure="1" displayFolder="" measureGroup="dim_Linhas" count="0" hidden="1"/>
    <cacheHierarchy uniqueName="[Measures].[__XL_Count dim_Paradas]" caption="__XL_Count dim_Paradas" measure="1" displayFolder="" measureGroup="dim_Paradas" count="0" hidden="1"/>
    <cacheHierarchy uniqueName="[Measures].[__XL_Count fact_paradas]" caption="__XL_Count fact_paradas" measure="1" displayFolder="" measureGroup="fact_paradas" count="0" hidden="1"/>
    <cacheHierarchy uniqueName="[Measures].[__XL_Count Kpis_Calculados]" caption="__XL_Count Kpis_Calculados" measure="1" displayFolder="" measureGroup="Kpis_Calculados" count="0" hidden="1"/>
    <cacheHierarchy uniqueName="[Measures].[__No measures defined]" caption="__No measures defined" measure="1" displayFolder="" count="0" hidden="1"/>
    <cacheHierarchy uniqueName="[Measures].[Soma de Qtd_Produzida]" caption="Soma de Qtd_Produzi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Qtd_Refugo]" caption="Soma de Qtd_Refugo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empo_Parada]" caption="Soma de Tempo_Parada" measure="1" displayFolder="" measureGroup="fact_produca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Tempo_Parada 2]" caption="Soma de Tempo_Parada 2" measure="1" displayFolder="" measureGroup="fact_para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Taxa_Refugo]" caption="Soma de Taxa_Refug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Eficiencia_Producao]" caption="Soma de Eficiencia_Producao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Tempo_Medio_Parada]" caption="Soma de Tempo_Medio_Parada" measure="1" displayFolder="" measureGroup="Kpis_Calcul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9822633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92270-D120-470D-8B6A-155F4EA79F55}" name="Tabela dinâmica16" cacheId="2082" applyNumberFormats="0" applyBorderFormats="0" applyFontFormats="0" applyPatternFormats="0" applyAlignmentFormats="0" applyWidthHeightFormats="1" dataCaption="Valores" updatedVersion="8" minRefreshableVersion="3" useAutoFormatting="1" subtotalHiddenItems="1" rowGrandTotals="0" itemPrintTitles="1" createdVersion="8" indent="0" outline="1" outlineData="1" multipleFieldFilters="0" rowHeaderCaption="Linha">
  <location ref="K3:M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axa_Refugo" fld="0" baseField="0" baseItem="0" numFmtId="169"/>
    <dataField name="Eficiencia_Producao" fld="1" baseField="0" baseItem="0" numFmtId="9"/>
    <dataField name="Tempo_Medio_Parada" fld="2" baseField="0" baseItem="0"/>
  </dataFields>
  <formats count="20">
    <format dxfId="6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0">
      <pivotArea type="all" dataOnly="0" outline="0" fieldPosition="0"/>
    </format>
    <format dxfId="671">
      <pivotArea outline="0" collapsedLevelsAreSubtotals="1" fieldPosition="0"/>
    </format>
    <format dxfId="6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5">
      <pivotArea outline="0" collapsedLevelsAreSubtotals="1" fieldPosition="0"/>
    </format>
    <format dxfId="676">
      <pivotArea type="all" dataOnly="0" outline="0" fieldPosition="0"/>
    </format>
    <format dxfId="677">
      <pivotArea outline="0" collapsedLevelsAreSubtotals="1" fieldPosition="0"/>
    </format>
    <format dxfId="6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9">
      <pivotArea type="all" dataOnly="0" outline="0" fieldPosition="0"/>
    </format>
    <format dxfId="680">
      <pivotArea outline="0" collapsedLevelsAreSubtotals="1" fieldPosition="0"/>
    </format>
    <format dxfId="6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2">
      <pivotArea type="all" dataOnly="0" outline="0" fieldPosition="0"/>
    </format>
    <format dxfId="683">
      <pivotArea outline="0" fieldPosition="0">
        <references count="1">
          <reference field="4294967294" count="1">
            <x v="1"/>
          </reference>
        </references>
      </pivotArea>
    </format>
    <format dxfId="684">
      <pivotArea type="all" dataOnly="0" outline="0" fieldPosition="0"/>
    </format>
    <format dxfId="685">
      <pivotArea outline="0" collapsedLevelsAreSubtotals="1" fieldPosition="0"/>
    </format>
    <format dxfId="6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39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Taxa_Refugo"/>
    <pivotHierarchy dragToData="1" caption="Eficiencia_Producao"/>
    <pivotHierarchy dragToData="1" caption="Tempo_Medio_Parada"/>
  </pivotHierarchies>
  <pivotTableStyleInfo name="PivotStyleMedium9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s_Calculados]"/>
        <x15:activeTabTopLevelEntity name="[dim_Lin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88729-DB07-4E8E-9DA0-D8834195B462}" name="Tabela dinâmica4" cacheId="207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chartFormat="24" rowHeaderCaption="Motivo de Parada">
  <location ref="G3:I6" firstHeaderRow="1" firstDataRow="1" firstDataCol="2"/>
  <pivotFields count="3">
    <pivotField name="Linha"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">
    <i>
      <x/>
      <x/>
    </i>
    <i>
      <x v="1"/>
      <x v="1"/>
    </i>
    <i t="grand">
      <x/>
    </i>
  </rowItems>
  <colItems count="1">
    <i/>
  </colItems>
  <dataFields count="1">
    <dataField fld="2" subtotal="count" baseField="0" baseItem="0"/>
  </dataFields>
  <formats count="29">
    <format dxfId="707">
      <pivotArea field="0" type="button" dataOnly="0" labelOnly="1" outline="0" axis="axisRow" fieldPosition="0"/>
    </format>
    <format dxfId="708">
      <pivotArea dataOnly="0" labelOnly="1" outline="0" axis="axisValues" fieldPosition="0"/>
    </format>
    <format dxfId="709">
      <pivotArea type="all" dataOnly="0" outline="0" fieldPosition="0"/>
    </format>
    <format dxfId="710">
      <pivotArea outline="0" collapsedLevelsAreSubtotals="1" fieldPosition="0"/>
    </format>
    <format dxfId="711">
      <pivotArea field="0" type="button" dataOnly="0" labelOnly="1" outline="0" axis="axisRow" fieldPosition="0"/>
    </format>
    <format dxfId="712">
      <pivotArea field="1" type="button" dataOnly="0" labelOnly="1" outline="0" axis="axisRow" fieldPosition="1"/>
    </format>
    <format dxfId="713">
      <pivotArea dataOnly="0" labelOnly="1" outline="0" fieldPosition="0">
        <references count="1">
          <reference field="0" count="0"/>
        </references>
      </pivotArea>
    </format>
    <format dxfId="714">
      <pivotArea dataOnly="0" labelOnly="1" grandRow="1" outline="0" fieldPosition="0"/>
    </format>
    <format dxfId="715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717">
      <pivotArea dataOnly="0" labelOnly="1" outline="0" axis="axisValues" fieldPosition="0"/>
    </format>
    <format dxfId="718">
      <pivotArea type="all" dataOnly="0" outline="0" fieldPosition="0"/>
    </format>
    <format dxfId="719">
      <pivotArea outline="0" collapsedLevelsAreSubtotals="1" fieldPosition="0"/>
    </format>
    <format dxfId="720">
      <pivotArea field="0" type="button" dataOnly="0" labelOnly="1" outline="0" axis="axisRow" fieldPosition="0"/>
    </format>
    <format dxfId="721">
      <pivotArea field="1" type="button" dataOnly="0" labelOnly="1" outline="0" axis="axisRow" fieldPosition="1"/>
    </format>
    <format dxfId="722">
      <pivotArea dataOnly="0" labelOnly="1" outline="0" fieldPosition="0">
        <references count="1">
          <reference field="0" count="0"/>
        </references>
      </pivotArea>
    </format>
    <format dxfId="723">
      <pivotArea dataOnly="0" labelOnly="1" grandRow="1" outline="0" fieldPosition="0"/>
    </format>
    <format dxfId="724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726">
      <pivotArea dataOnly="0" labelOnly="1" outline="0" axis="axisValues" fieldPosition="0"/>
    </format>
    <format dxfId="727">
      <pivotArea type="all" dataOnly="0" outline="0" fieldPosition="0"/>
    </format>
    <format dxfId="728">
      <pivotArea outline="0" collapsedLevelsAreSubtotals="1" fieldPosition="0"/>
    </format>
    <format dxfId="729">
      <pivotArea field="0" type="button" dataOnly="0" labelOnly="1" outline="0" axis="axisRow" fieldPosition="0"/>
    </format>
    <format dxfId="730">
      <pivotArea field="1" type="button" dataOnly="0" labelOnly="1" outline="0" axis="axisRow" fieldPosition="1"/>
    </format>
    <format dxfId="731">
      <pivotArea dataOnly="0" labelOnly="1" outline="0" fieldPosition="0">
        <references count="1">
          <reference field="0" count="0"/>
        </references>
      </pivotArea>
    </format>
    <format dxfId="732">
      <pivotArea dataOnly="0" labelOnly="1" grandRow="1" outline="0" fieldPosition="0"/>
    </format>
    <format dxfId="733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735">
      <pivotArea dataOnly="0" labelOnly="1" outline="0" axis="axisValues" fieldPosition="0"/>
    </format>
  </formats>
  <pivotHierarchies count="39"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2">
    <rowHierarchyUsage hierarchyUsage="0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fact_producao]"/>
        <x15:activeTabTopLevelEntity name="[dim_Paradas]"/>
        <x15:activeTabTopLevelEntity name="[dim_Linhas]"/>
        <x15:activeTabTopLevelEntity name="[fact_pa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22365-9988-4D35-AD1F-F960CA4BD44C}" name="Tabela dinâmica2" cacheId="208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chartFormat="8">
  <location ref="A3:B9" firstHeaderRow="1" firstDataRow="1" firstDataCol="1"/>
  <pivotFields count="3">
    <pivotField name="Linha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td Produzida" fld="1" baseField="0" baseItem="0" numFmtId="3"/>
  </dataFields>
  <formats count="20">
    <format dxfId="687">
      <pivotArea type="all" dataOnly="0" outline="0" fieldPosition="0"/>
    </format>
    <format dxfId="688">
      <pivotArea outline="0" collapsedLevelsAreSubtotals="1" fieldPosition="0"/>
    </format>
    <format dxfId="689">
      <pivotArea field="0" type="button" dataOnly="0" labelOnly="1" outline="0" axis="axisRow" fieldPosition="0"/>
    </format>
    <format dxfId="690">
      <pivotArea dataOnly="0" labelOnly="1" fieldPosition="0">
        <references count="1">
          <reference field="0" count="0"/>
        </references>
      </pivotArea>
    </format>
    <format dxfId="691">
      <pivotArea dataOnly="0" labelOnly="1" grandRow="1" outline="0" fieldPosition="0"/>
    </format>
    <format dxfId="692">
      <pivotArea dataOnly="0" labelOnly="1" outline="0" axis="axisValues" fieldPosition="0"/>
    </format>
    <format dxfId="693">
      <pivotArea type="all" dataOnly="0" outline="0" fieldPosition="0"/>
    </format>
    <format dxfId="694">
      <pivotArea dataOnly="0" labelOnly="1" fieldPosition="0">
        <references count="1">
          <reference field="0" count="0"/>
        </references>
      </pivotArea>
    </format>
    <format dxfId="695">
      <pivotArea outline="0" fieldPosition="0">
        <references count="1">
          <reference field="4294967294" count="1">
            <x v="0"/>
          </reference>
        </references>
      </pivotArea>
    </format>
    <format dxfId="696">
      <pivotArea outline="0" fieldPosition="0">
        <references count="1">
          <reference field="0" count="1" selected="0">
            <x v="0"/>
          </reference>
        </references>
      </pivotArea>
    </format>
    <format dxfId="697">
      <pivotArea type="all" dataOnly="0" outline="0" fieldPosition="0"/>
    </format>
    <format dxfId="698">
      <pivotArea outline="0" collapsedLevelsAreSubtotals="1" fieldPosition="0"/>
    </format>
    <format dxfId="699">
      <pivotArea field="0" type="button" dataOnly="0" labelOnly="1" outline="0" axis="axisRow" fieldPosition="0"/>
    </format>
    <format dxfId="700">
      <pivotArea dataOnly="0" labelOnly="1" outline="0" fieldPosition="0">
        <references count="1">
          <reference field="0" count="0"/>
        </references>
      </pivotArea>
    </format>
    <format dxfId="701">
      <pivotArea type="all" dataOnly="0" outline="0" fieldPosition="0"/>
    </format>
    <format dxfId="702">
      <pivotArea outline="0" collapsedLevelsAreSubtotals="1" fieldPosition="0"/>
    </format>
    <format dxfId="703">
      <pivotArea field="0" type="button" dataOnly="0" labelOnly="1" outline="0" axis="axisRow" fieldPosition="0"/>
    </format>
    <format dxfId="704">
      <pivotArea dataOnly="0" labelOnly="1" outline="0" fieldPosition="0">
        <references count="1">
          <reference field="0" count="0"/>
        </references>
      </pivotArea>
    </format>
    <format dxfId="705">
      <pivotArea dataOnly="0" labelOnly="1" grandRow="1" outline="0" fieldPosition="0"/>
    </format>
    <format dxfId="70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Qtd Produzida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roducao]"/>
        <x15:activeTabTopLevelEntity name="[dim_Lin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85ECB-1697-4675-BF76-7C9325002AFD}" name="Tabela dinâmica3" cacheId="208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chartFormat="6">
  <location ref="D3:E9" firstHeaderRow="1" firstDataRow="1" firstDataCol="1"/>
  <pivotFields count="3">
    <pivotField name="Linha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td Refugo" fld="1" baseField="0" baseItem="0" numFmtId="1"/>
  </dataFields>
  <formats count="23">
    <format dxfId="644">
      <pivotArea field="0" type="button" dataOnly="0" labelOnly="1" outline="0" axis="axisRow" fieldPosition="0"/>
    </format>
    <format dxfId="645">
      <pivotArea dataOnly="0" labelOnly="1" outline="0" fieldPosition="0">
        <references count="1">
          <reference field="0" count="1">
            <x v="0"/>
          </reference>
        </references>
      </pivotArea>
    </format>
    <format dxfId="646">
      <pivotArea dataOnly="0" labelOnly="1" outline="0" fieldPosition="0">
        <references count="1">
          <reference field="0" count="1">
            <x v="1"/>
          </reference>
        </references>
      </pivotArea>
    </format>
    <format dxfId="647">
      <pivotArea dataOnly="0" labelOnly="1" outline="0" fieldPosition="0">
        <references count="1">
          <reference field="0" count="1">
            <x v="2"/>
          </reference>
        </references>
      </pivotArea>
    </format>
    <format dxfId="648">
      <pivotArea dataOnly="0" labelOnly="1" outline="0" fieldPosition="0">
        <references count="1">
          <reference field="0" count="1">
            <x v="3"/>
          </reference>
        </references>
      </pivotArea>
    </format>
    <format dxfId="649">
      <pivotArea dataOnly="0" labelOnly="1" outline="0" fieldPosition="0">
        <references count="1">
          <reference field="0" count="1">
            <x v="4"/>
          </reference>
        </references>
      </pivotArea>
    </format>
    <format dxfId="650">
      <pivotArea dataOnly="0" labelOnly="1" grandRow="1" outline="0" fieldPosition="0"/>
    </format>
    <format dxfId="651">
      <pivotArea dataOnly="0" labelOnly="1" outline="0" axis="axisValues" fieldPosition="0"/>
    </format>
    <format dxfId="652">
      <pivotArea outline="0" collapsedLevelsAreSubtotals="1" fieldPosition="0"/>
    </format>
    <format dxfId="653">
      <pivotArea dataOnly="0" labelOnly="1" outline="0" axis="axisValues" fieldPosition="0"/>
    </format>
    <format dxfId="654">
      <pivotArea type="all" dataOnly="0" outline="0" fieldPosition="0"/>
    </format>
    <format dxfId="655">
      <pivotArea outline="0" collapsedLevelsAreSubtotals="1" fieldPosition="0"/>
    </format>
    <format dxfId="656">
      <pivotArea field="0" type="button" dataOnly="0" labelOnly="1" outline="0" axis="axisRow" fieldPosition="0"/>
    </format>
    <format dxfId="657">
      <pivotArea dataOnly="0" labelOnly="1" outline="0" fieldPosition="0">
        <references count="1">
          <reference field="0" count="0"/>
        </references>
      </pivotArea>
    </format>
    <format dxfId="658">
      <pivotArea dataOnly="0" labelOnly="1" grandRow="1" outline="0" fieldPosition="0"/>
    </format>
    <format dxfId="659">
      <pivotArea dataOnly="0" labelOnly="1" outline="0" axis="axisValues" fieldPosition="0"/>
    </format>
    <format dxfId="660">
      <pivotArea field="0" type="button" dataOnly="0" labelOnly="1" outline="0" axis="axisRow" fieldPosition="0"/>
    </format>
    <format dxfId="661">
      <pivotArea dataOnly="0" labelOnly="1" outline="0" axis="axisValues" fieldPosition="0"/>
    </format>
    <format dxfId="662">
      <pivotArea outline="0" collapsedLevelsAreSubtotals="1" fieldPosition="0"/>
    </format>
    <format dxfId="663">
      <pivotArea dataOnly="0" labelOnly="1" outline="0" fieldPosition="0">
        <references count="1">
          <reference field="0" count="0"/>
        </references>
      </pivotArea>
    </format>
    <format dxfId="664">
      <pivotArea dataOnly="0" labelOnly="1" grandRow="1" outline="0" fieldPosition="0"/>
    </format>
    <format dxfId="665">
      <pivotArea outline="0" collapsedLevelsAreSubtotals="1" fieldPosition="0"/>
    </format>
    <format dxfId="66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d Refugo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producao]"/>
        <x15:activeTabTopLevelEntity name="[dim_Linh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B9BCB08-DD0C-445E-92CB-EB594929F8AC}" autoFormatId="16" applyNumberFormats="0" applyBorderFormats="0" applyFontFormats="0" applyPatternFormats="0" applyAlignmentFormats="0" applyWidthHeightFormats="0">
  <queryTableRefresh nextId="5">
    <queryTableFields count="4">
      <queryTableField id="1" name="Data_Key" tableColumnId="1"/>
      <queryTableField id="2" name="ID_Linha" tableColumnId="2"/>
      <queryTableField id="3" name="Tempo_Parada" tableColumnId="3"/>
      <queryTableField id="4" name="ID_Motivo_Parada" tableColumnId="4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Linha" xr10:uid="{5D0C9FFC-002F-42FC-A5FE-83B177DE97D9}" sourceName="[dim_Linhas].[ID_Linha]">
  <pivotTables>
    <pivotTable tabId="5" name="Tabela dinâmica4"/>
    <pivotTable tabId="5" name="Tabela dinâmica16"/>
    <pivotTable tabId="5" name="Tabela dinâmica2"/>
    <pivotTable tabId="5" name="Tabela dinâmica3"/>
  </pivotTables>
  <data>
    <olap pivotCacheId="498226332">
      <levels count="2">
        <level uniqueName="[dim_Linhas].[ID_Linha].[(All)]" sourceCaption="(All)" count="0"/>
        <level uniqueName="[dim_Linhas].[ID_Linha].[ID_Linha]" sourceCaption="ID_Linha" count="5" sortOrder="ascending">
          <ranges>
            <range startItem="0">
              <i n="[dim_Linhas].[ID_Linha].&amp;[L01]" c="L01"/>
              <i n="[dim_Linhas].[ID_Linha].&amp;[L02]" c="L02"/>
              <i n="[dim_Linhas].[ID_Linha].&amp;[L03]" c="L03"/>
              <i n="[dim_Linhas].[ID_Linha].&amp;[L04]" c="L04"/>
              <i n="[dim_Linhas].[ID_Linha].&amp;[L05]" c="L05"/>
            </range>
          </ranges>
        </level>
      </levels>
      <selections count="1">
        <selection n="[dim_Linhas].[ID_Linh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nha" xr10:uid="{3DEA49CE-8B83-41ED-BB88-308A0D050F2D}" cache="SegmentaçãodeDados_ID_Linha" caption="Filtrar Linhas" level="1" style="SlicerStyleDark1" rowHeight="720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92D78-22F8-451C-A2C1-A06DBEA8FE0E}" name="fact_producao" displayName="fact_producao" ref="A1:K6" totalsRowShown="0" headerRowDxfId="766" dataDxfId="754">
  <autoFilter ref="A1:K6" xr:uid="{BE792D78-22F8-451C-A2C1-A06DBEA8FE0E}"/>
  <tableColumns count="11">
    <tableColumn id="1" xr3:uid="{63DF3012-BF74-4855-AD56-6808FF85AEA3}" name="ID_Fato" dataDxfId="765"/>
    <tableColumn id="2" xr3:uid="{D7F6C6C9-C23A-4561-9F04-E867A5D01412}" name="Data_Key" dataDxfId="764"/>
    <tableColumn id="3" xr3:uid="{E8A1F053-1CB9-4C53-B80A-451CE068A4ED}" name="ID_Turno" dataDxfId="763"/>
    <tableColumn id="4" xr3:uid="{3D61E1E9-90A0-443C-9CA6-B09D0EA445C6}" name="ID_Linha" dataDxfId="762"/>
    <tableColumn id="5" xr3:uid="{B479023D-EB95-4C36-A67D-4C91A7554A8C}" name="SKU_Produto" dataDxfId="761"/>
    <tableColumn id="6" xr3:uid="{1FDFB270-6D01-440E-AF59-D4EEDA83E060}" name="Qtd_Planejada" dataDxfId="760"/>
    <tableColumn id="7" xr3:uid="{4D2DAD7E-CAEC-4C80-9703-74994D503F8D}" name="Qtd_Produzida" dataDxfId="759"/>
    <tableColumn id="8" xr3:uid="{A6E104F5-6BAC-4656-9E2E-AD4F67FC610A}" name="Qtd_Refugo" dataDxfId="758"/>
    <tableColumn id="9" xr3:uid="{2D79D76A-B887-453E-9716-87712CB06066}" name="Tempo_Operacao" dataDxfId="757"/>
    <tableColumn id="10" xr3:uid="{C490D7DA-5F2A-40DE-991D-3FCD0118D965}" name="Tempo_Parada" dataDxfId="756"/>
    <tableColumn id="11" xr3:uid="{97E89BB4-6B02-4F09-A416-A7B2A8EEDA2C}" name="ID_Motivo_Parada" dataDxfId="75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D7FCA-9047-46B0-9000-9BF9969C9B94}" name="fact_paradas" displayName="fact_paradas" ref="A1:D3" tableType="queryTable" totalsRowShown="0" headerRowDxfId="749">
  <autoFilter ref="A1:D3" xr:uid="{995D7FCA-9047-46B0-9000-9BF9969C9B94}"/>
  <tableColumns count="4">
    <tableColumn id="1" xr3:uid="{1AE20980-0C9E-4EB3-B5C3-80B8D4DE8DCD}" uniqueName="1" name="Data_Key" queryTableFieldId="1" dataDxfId="753"/>
    <tableColumn id="2" xr3:uid="{3A400A4E-4AA4-4168-88DB-D7AFA34935B2}" uniqueName="2" name="ID_Linha" queryTableFieldId="2" dataDxfId="752"/>
    <tableColumn id="3" xr3:uid="{14FAA936-3488-4BD9-BFBD-8FA77D7F2F77}" uniqueName="3" name="Tempo_Parada" queryTableFieldId="3" dataDxfId="751"/>
    <tableColumn id="4" xr3:uid="{ACC0E47D-4C29-454B-8EE4-6DE8119BBB16}" uniqueName="4" name="ID_Motivo_Parada" queryTableFieldId="4" dataDxfId="75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44DBC7-3E6A-4B05-8297-529FF69149DE}" name="dim_Paradas" displayName="dim_Paradas" ref="A1:C4" totalsRowShown="0" headerRowDxfId="739" dataDxfId="740">
  <autoFilter ref="A1:C4" xr:uid="{A744DBC7-3E6A-4B05-8297-529FF69149DE}"/>
  <tableColumns count="3">
    <tableColumn id="1" xr3:uid="{46B1BAC5-1529-42D5-B5EC-33E014F35894}" name="ID_Motivo_Parada" dataDxfId="743"/>
    <tableColumn id="2" xr3:uid="{A6FBD8AB-E650-4BA7-A94B-876FAF0DBA16}" name="Descricao" dataDxfId="742"/>
    <tableColumn id="3" xr3:uid="{1C64F5A0-2F3F-4CF9-AA7C-B71645200BEC}" name="Tipo_Parada" dataDxfId="74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54704E-683B-4B6A-8382-2943FDD6729E}" name="dim_Linhas" displayName="dim_Linhas" ref="A1:C6" totalsRowShown="0" headerRowDxfId="744" dataDxfId="745">
  <autoFilter ref="A1:C6" xr:uid="{A354704E-683B-4B6A-8382-2943FDD6729E}"/>
  <tableColumns count="3">
    <tableColumn id="1" xr3:uid="{750E8EE4-8D4C-4106-9C82-9C152590AC90}" name="ID_Linha" dataDxfId="748"/>
    <tableColumn id="2" xr3:uid="{131544EB-3F84-4E69-9B2F-AF014D0276B5}" name="Nome_Linha" dataDxfId="747"/>
    <tableColumn id="3" xr3:uid="{CB2CF350-D48C-4029-8109-2AD40C513B7E}" name="Capacidade_Hora" dataDxfId="74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77004F-6214-4C7C-9DC2-1F4C7B7EF9E7}" name="Kpis_Calculados" displayName="Kpis_Calculados" ref="A1:D6" totalsRowShown="0" headerRowDxfId="738">
  <autoFilter ref="A1:D6" xr:uid="{7577004F-6214-4C7C-9DC2-1F4C7B7EF9E7}"/>
  <tableColumns count="4">
    <tableColumn id="1" xr3:uid="{2DEC9A01-0FC2-4BF1-8AEB-390633A15FA8}" name="ID_Linha"/>
    <tableColumn id="2" xr3:uid="{E82E1CA8-4DA4-4BB4-9A6D-D8E7B9386700}" name="Taxa_Refugo" dataDxfId="736" dataCellStyle="Porcentagem">
      <calculatedColumnFormula>SUMIFS(fact_producao!$H:$H, fact_producao!$D:$D, A2) / SUMIFS(fact_producao!$G:$G, fact_producao!$D:$D, A2)</calculatedColumnFormula>
    </tableColumn>
    <tableColumn id="3" xr3:uid="{306EC67D-4E87-47F0-B88E-FF546619028B}" name="Eficiencia_Producao" dataCellStyle="Porcentagem">
      <calculatedColumnFormula>SUMIFS(fact_producao!$G:$G, fact_producao!$D:$D, A2) / SUMIFS(fact_producao!$F:$F, fact_producao!$D:$D, A2)</calculatedColumnFormula>
    </tableColumn>
    <tableColumn id="4" xr3:uid="{A741D74C-D283-4FD0-8BF6-752DB823AF12}" name="Tempo_Medio_Parada" dataDxfId="737">
      <calculatedColumnFormula>IFERROR(SUMIFS(fact_paradas!$C:$C, fact_paradas!$B:$B, A2) / COUNTIF(fact_paradas!$B:$B, A2), 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C1B3-E158-44FF-9BE0-AD9046679789}">
  <dimension ref="A1:L6"/>
  <sheetViews>
    <sheetView zoomScale="89" zoomScaleNormal="89" workbookViewId="0">
      <selection activeCell="H4" sqref="H4"/>
    </sheetView>
  </sheetViews>
  <sheetFormatPr defaultRowHeight="15" x14ac:dyDescent="0.25"/>
  <cols>
    <col min="1" max="1" width="17.140625" bestFit="1" customWidth="1"/>
    <col min="2" max="2" width="19.28515625" style="1" bestFit="1" customWidth="1"/>
    <col min="3" max="3" width="19.7109375" style="1" bestFit="1" customWidth="1"/>
    <col min="4" max="4" width="18.5703125" style="1" bestFit="1" customWidth="1"/>
    <col min="5" max="5" width="25.85546875" style="1" bestFit="1" customWidth="1"/>
    <col min="6" max="6" width="27" style="1" bestFit="1" customWidth="1"/>
    <col min="7" max="7" width="27.85546875" style="1" bestFit="1" customWidth="1"/>
    <col min="8" max="8" width="23.42578125" style="1" bestFit="1" customWidth="1"/>
    <col min="9" max="9" width="31.5703125" style="1" bestFit="1" customWidth="1"/>
    <col min="10" max="10" width="25.7109375" style="1" hidden="1" customWidth="1"/>
    <col min="11" max="11" width="29.28515625" style="1" hidden="1" customWidth="1"/>
    <col min="12" max="12" width="29.28515625" style="1" bestFit="1" customWidth="1"/>
    <col min="13" max="13" width="21.5703125" bestFit="1" customWidth="1"/>
  </cols>
  <sheetData>
    <row r="1" spans="1:11" ht="25.5" x14ac:dyDescent="0.25">
      <c r="A1" s="10" t="s">
        <v>18</v>
      </c>
      <c r="B1" s="10" t="s">
        <v>19</v>
      </c>
      <c r="C1" s="10" t="s">
        <v>7</v>
      </c>
      <c r="D1" s="10" t="s">
        <v>0</v>
      </c>
      <c r="E1" s="10" t="s">
        <v>1</v>
      </c>
      <c r="F1" s="10" t="s">
        <v>8</v>
      </c>
      <c r="G1" s="10" t="s">
        <v>2</v>
      </c>
      <c r="H1" s="10" t="s">
        <v>3</v>
      </c>
      <c r="I1" s="10" t="s">
        <v>9</v>
      </c>
      <c r="J1" s="3" t="s">
        <v>10</v>
      </c>
      <c r="K1" s="3" t="s">
        <v>11</v>
      </c>
    </row>
    <row r="2" spans="1:11" ht="20.25" x14ac:dyDescent="0.25">
      <c r="A2" s="2">
        <v>1001</v>
      </c>
      <c r="B2" s="2">
        <v>20260612</v>
      </c>
      <c r="C2" s="2" t="s">
        <v>4</v>
      </c>
      <c r="D2" s="2" t="s">
        <v>12</v>
      </c>
      <c r="E2" s="2" t="s">
        <v>13</v>
      </c>
      <c r="F2" s="2">
        <v>5000</v>
      </c>
      <c r="G2" s="2">
        <v>4850</v>
      </c>
      <c r="H2" s="2">
        <v>45</v>
      </c>
      <c r="I2" s="2">
        <v>480</v>
      </c>
      <c r="J2" s="2">
        <v>15</v>
      </c>
      <c r="K2" s="2" t="s">
        <v>14</v>
      </c>
    </row>
    <row r="3" spans="1:11" ht="20.25" x14ac:dyDescent="0.25">
      <c r="A3" s="2">
        <v>1002</v>
      </c>
      <c r="B3" s="2">
        <v>20260612</v>
      </c>
      <c r="C3" s="2" t="s">
        <v>4</v>
      </c>
      <c r="D3" s="2" t="s">
        <v>15</v>
      </c>
      <c r="E3" s="2" t="s">
        <v>16</v>
      </c>
      <c r="F3" s="2">
        <v>3000</v>
      </c>
      <c r="G3" s="2">
        <v>2980</v>
      </c>
      <c r="H3" s="2">
        <v>10</v>
      </c>
      <c r="I3" s="2">
        <v>480</v>
      </c>
      <c r="J3" s="2">
        <v>5</v>
      </c>
      <c r="K3" s="2" t="s">
        <v>17</v>
      </c>
    </row>
    <row r="4" spans="1:11" ht="20.25" x14ac:dyDescent="0.25">
      <c r="A4" s="2">
        <v>1003</v>
      </c>
      <c r="B4" s="2">
        <v>20260612</v>
      </c>
      <c r="C4" s="2" t="s">
        <v>5</v>
      </c>
      <c r="D4" s="2" t="s">
        <v>22</v>
      </c>
      <c r="E4" s="2" t="s">
        <v>21</v>
      </c>
      <c r="F4" s="2">
        <v>4000</v>
      </c>
      <c r="G4" s="2">
        <v>3950</v>
      </c>
      <c r="H4" s="2">
        <v>25</v>
      </c>
      <c r="I4" s="2">
        <v>470</v>
      </c>
      <c r="J4" s="2">
        <v>10</v>
      </c>
      <c r="K4" s="2" t="s">
        <v>17</v>
      </c>
    </row>
    <row r="5" spans="1:11" ht="20.25" x14ac:dyDescent="0.25">
      <c r="A5" s="2">
        <v>1004</v>
      </c>
      <c r="B5" s="2">
        <v>20260612</v>
      </c>
      <c r="C5" s="2" t="s">
        <v>5</v>
      </c>
      <c r="D5" s="2" t="s">
        <v>23</v>
      </c>
      <c r="E5" s="2" t="s">
        <v>24</v>
      </c>
      <c r="F5" s="2">
        <v>6000</v>
      </c>
      <c r="G5" s="2">
        <v>5800</v>
      </c>
      <c r="H5" s="2">
        <v>50</v>
      </c>
      <c r="I5" s="2">
        <v>480</v>
      </c>
      <c r="J5" s="2">
        <v>20</v>
      </c>
      <c r="K5" s="2" t="s">
        <v>20</v>
      </c>
    </row>
    <row r="6" spans="1:11" ht="20.25" x14ac:dyDescent="0.25">
      <c r="A6" s="2">
        <v>1005</v>
      </c>
      <c r="B6" s="2">
        <v>20260612</v>
      </c>
      <c r="C6" s="2" t="s">
        <v>6</v>
      </c>
      <c r="D6" s="2" t="s">
        <v>25</v>
      </c>
      <c r="E6" s="2" t="s">
        <v>26</v>
      </c>
      <c r="F6" s="2">
        <v>2000</v>
      </c>
      <c r="G6" s="2">
        <v>1990</v>
      </c>
      <c r="H6" s="2">
        <v>2</v>
      </c>
      <c r="I6" s="2">
        <v>480</v>
      </c>
      <c r="J6" s="2">
        <v>0</v>
      </c>
      <c r="K6" s="2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B4A2-9310-400E-ACF5-55BF3C939A68}">
  <dimension ref="A1:K6"/>
  <sheetViews>
    <sheetView workbookViewId="0">
      <selection activeCell="D3" sqref="D3"/>
    </sheetView>
  </sheetViews>
  <sheetFormatPr defaultRowHeight="15" x14ac:dyDescent="0.25"/>
  <cols>
    <col min="1" max="1" width="18.85546875" bestFit="1" customWidth="1"/>
    <col min="2" max="2" width="18.140625" style="1" bestFit="1" customWidth="1"/>
    <col min="3" max="3" width="26.85546875" style="1" bestFit="1" customWidth="1"/>
    <col min="4" max="4" width="31.85546875" style="1" bestFit="1" customWidth="1"/>
    <col min="5" max="5" width="25.85546875" style="1" bestFit="1" customWidth="1"/>
    <col min="6" max="6" width="27" style="1" bestFit="1" customWidth="1"/>
    <col min="7" max="7" width="27.85546875" style="1" bestFit="1" customWidth="1"/>
    <col min="8" max="8" width="23.42578125" style="1" bestFit="1" customWidth="1"/>
    <col min="9" max="9" width="31.5703125" style="1" bestFit="1" customWidth="1"/>
  </cols>
  <sheetData>
    <row r="1" spans="1:11" ht="25.5" x14ac:dyDescent="0.25">
      <c r="A1" s="10" t="s">
        <v>19</v>
      </c>
      <c r="B1" s="10" t="s">
        <v>0</v>
      </c>
      <c r="C1" s="10" t="s">
        <v>10</v>
      </c>
      <c r="D1" s="10" t="s">
        <v>11</v>
      </c>
      <c r="E1" s="10"/>
      <c r="F1" s="10"/>
      <c r="G1" s="10"/>
      <c r="H1" s="10"/>
      <c r="I1" s="10"/>
      <c r="J1" s="3"/>
      <c r="K1" s="3"/>
    </row>
    <row r="2" spans="1:11" ht="20.25" x14ac:dyDescent="0.25">
      <c r="A2" s="2">
        <v>20260612</v>
      </c>
      <c r="B2" s="2" t="s">
        <v>12</v>
      </c>
      <c r="C2" s="2">
        <v>15</v>
      </c>
      <c r="D2" s="2" t="s">
        <v>14</v>
      </c>
      <c r="E2" s="2"/>
      <c r="F2" s="2"/>
      <c r="G2" s="2"/>
      <c r="H2" s="2"/>
      <c r="I2" s="2"/>
      <c r="J2" s="3"/>
      <c r="K2" s="3"/>
    </row>
    <row r="3" spans="1:11" ht="20.25" x14ac:dyDescent="0.25">
      <c r="A3" s="2">
        <v>20260612</v>
      </c>
      <c r="B3" s="2" t="s">
        <v>23</v>
      </c>
      <c r="C3" s="2">
        <v>20</v>
      </c>
      <c r="D3" s="2" t="s">
        <v>20</v>
      </c>
      <c r="E3" s="2"/>
      <c r="F3" s="2"/>
      <c r="G3" s="2"/>
      <c r="H3" s="2"/>
      <c r="I3" s="2"/>
      <c r="J3" s="3"/>
      <c r="K3" s="3"/>
    </row>
    <row r="4" spans="1:11" ht="20.25" x14ac:dyDescent="0.25">
      <c r="A4" s="2"/>
      <c r="B4" s="2"/>
      <c r="C4" s="2"/>
      <c r="D4" s="2"/>
      <c r="E4" s="2"/>
      <c r="F4" s="2"/>
      <c r="G4" s="2"/>
      <c r="H4" s="2"/>
      <c r="I4" s="2"/>
      <c r="J4" s="3"/>
      <c r="K4" s="3"/>
    </row>
    <row r="5" spans="1:11" ht="20.25" x14ac:dyDescent="0.2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20.25" x14ac:dyDescent="0.25">
      <c r="A6" s="2"/>
      <c r="B6" s="2"/>
      <c r="C6" s="2"/>
      <c r="D6" s="2"/>
      <c r="E6" s="2"/>
      <c r="F6" s="2"/>
      <c r="G6" s="2"/>
      <c r="H6" s="2"/>
      <c r="I6" s="2"/>
      <c r="J6" s="3"/>
      <c r="K6" s="3"/>
    </row>
  </sheetData>
  <dataConsolidate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A623-D5F4-46B3-AF3A-6E7F12E03903}">
  <dimension ref="A1:K9"/>
  <sheetViews>
    <sheetView workbookViewId="0">
      <selection activeCell="E1" sqref="E1"/>
    </sheetView>
  </sheetViews>
  <sheetFormatPr defaultRowHeight="15" x14ac:dyDescent="0.25"/>
  <cols>
    <col min="1" max="1" width="31.85546875" bestFit="1" customWidth="1"/>
    <col min="2" max="2" width="20.7109375" style="1" bestFit="1" customWidth="1"/>
    <col min="3" max="3" width="23.5703125" style="1" bestFit="1" customWidth="1"/>
    <col min="4" max="4" width="18.5703125" style="1" bestFit="1" customWidth="1"/>
    <col min="5" max="5" width="25.85546875" style="1" bestFit="1" customWidth="1"/>
    <col min="6" max="6" width="27" style="1" bestFit="1" customWidth="1"/>
    <col min="7" max="7" width="27.85546875" style="1" bestFit="1" customWidth="1"/>
    <col min="8" max="8" width="23.42578125" style="1" bestFit="1" customWidth="1"/>
    <col min="9" max="9" width="31.5703125" style="1" bestFit="1" customWidth="1"/>
  </cols>
  <sheetData>
    <row r="1" spans="1:11" ht="25.5" x14ac:dyDescent="0.25">
      <c r="A1" s="10" t="s">
        <v>11</v>
      </c>
      <c r="B1" s="10" t="s">
        <v>34</v>
      </c>
      <c r="C1" s="10" t="s">
        <v>35</v>
      </c>
      <c r="D1" s="10"/>
      <c r="E1" s="10"/>
      <c r="F1" s="10"/>
      <c r="G1" s="10"/>
      <c r="H1" s="10"/>
      <c r="I1" s="10"/>
      <c r="J1" s="3"/>
      <c r="K1" s="3"/>
    </row>
    <row r="2" spans="1:11" ht="20.25" x14ac:dyDescent="0.25">
      <c r="A2" s="2" t="s">
        <v>17</v>
      </c>
      <c r="B2" s="2" t="s">
        <v>36</v>
      </c>
      <c r="C2" s="2" t="s">
        <v>37</v>
      </c>
      <c r="D2" s="2"/>
      <c r="E2" s="2"/>
      <c r="F2" s="2"/>
      <c r="G2" s="2"/>
      <c r="H2" s="2"/>
      <c r="I2" s="2"/>
      <c r="J2" s="3"/>
      <c r="K2" s="3"/>
    </row>
    <row r="3" spans="1:11" ht="20.25" x14ac:dyDescent="0.25">
      <c r="A3" s="2" t="s">
        <v>14</v>
      </c>
      <c r="B3" s="2" t="s">
        <v>38</v>
      </c>
      <c r="C3" s="2" t="s">
        <v>39</v>
      </c>
      <c r="D3" s="2"/>
      <c r="E3" s="2"/>
      <c r="F3" s="2"/>
      <c r="G3" s="2"/>
      <c r="H3" s="2"/>
      <c r="I3" s="2"/>
      <c r="J3" s="3"/>
      <c r="K3" s="3"/>
    </row>
    <row r="4" spans="1:11" ht="20.25" x14ac:dyDescent="0.25">
      <c r="A4" s="2" t="s">
        <v>20</v>
      </c>
      <c r="B4" s="2" t="s">
        <v>40</v>
      </c>
      <c r="C4" s="2" t="s">
        <v>41</v>
      </c>
      <c r="D4" s="2"/>
      <c r="E4" s="2"/>
      <c r="F4" s="2"/>
      <c r="G4" s="2"/>
      <c r="H4" s="2"/>
      <c r="I4" s="2"/>
      <c r="J4" s="3"/>
      <c r="K4" s="3"/>
    </row>
    <row r="5" spans="1:11" ht="20.25" x14ac:dyDescent="0.25">
      <c r="A5" s="2"/>
      <c r="B5" s="2"/>
      <c r="C5" s="2"/>
      <c r="D5" s="2"/>
      <c r="E5" s="2"/>
      <c r="F5" s="2"/>
      <c r="G5" s="2"/>
      <c r="H5" s="2"/>
      <c r="I5" s="2"/>
      <c r="J5" s="3"/>
      <c r="K5" s="3"/>
    </row>
    <row r="6" spans="1:11" ht="20.25" x14ac:dyDescent="0.25">
      <c r="A6" s="2"/>
      <c r="B6" s="2"/>
      <c r="C6" s="2"/>
      <c r="D6" s="2"/>
      <c r="E6" s="2"/>
      <c r="F6" s="2"/>
      <c r="G6" s="2"/>
      <c r="H6" s="2"/>
      <c r="I6" s="2"/>
      <c r="J6" s="3"/>
      <c r="K6" s="3"/>
    </row>
    <row r="7" spans="1:11" ht="16.5" x14ac:dyDescent="0.25">
      <c r="J7" s="3"/>
      <c r="K7" s="3"/>
    </row>
    <row r="8" spans="1:11" ht="16.5" x14ac:dyDescent="0.25">
      <c r="J8" s="3"/>
      <c r="K8" s="3"/>
    </row>
    <row r="9" spans="1:11" ht="16.5" x14ac:dyDescent="0.25">
      <c r="J9" s="3"/>
      <c r="K9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142F-9193-43B1-9B47-02F9694A812F}">
  <dimension ref="A1:K6"/>
  <sheetViews>
    <sheetView workbookViewId="0">
      <selection activeCell="C2" sqref="C2"/>
    </sheetView>
  </sheetViews>
  <sheetFormatPr defaultRowHeight="15" x14ac:dyDescent="0.25"/>
  <cols>
    <col min="1" max="1" width="18.140625" bestFit="1" customWidth="1"/>
    <col min="2" max="2" width="26.140625" style="1" bestFit="1" customWidth="1"/>
    <col min="3" max="3" width="30.5703125" style="1" bestFit="1" customWidth="1"/>
    <col min="4" max="4" width="18.5703125" style="1" bestFit="1" customWidth="1"/>
    <col min="5" max="5" width="25.85546875" style="1" bestFit="1" customWidth="1"/>
    <col min="6" max="6" width="27" style="1" bestFit="1" customWidth="1"/>
    <col min="7" max="7" width="27.85546875" style="1" bestFit="1" customWidth="1"/>
    <col min="8" max="8" width="23.42578125" style="1" bestFit="1" customWidth="1"/>
    <col min="9" max="9" width="31.5703125" style="1" bestFit="1" customWidth="1"/>
  </cols>
  <sheetData>
    <row r="1" spans="1:11" ht="25.5" x14ac:dyDescent="0.25">
      <c r="A1" s="10" t="s">
        <v>0</v>
      </c>
      <c r="B1" s="10" t="s">
        <v>27</v>
      </c>
      <c r="C1" s="10" t="s">
        <v>28</v>
      </c>
      <c r="D1" s="10"/>
      <c r="E1" s="10"/>
      <c r="F1" s="10"/>
      <c r="G1" s="10"/>
      <c r="H1" s="10"/>
      <c r="I1" s="10"/>
      <c r="J1" s="3"/>
      <c r="K1" s="3"/>
    </row>
    <row r="2" spans="1:11" ht="20.25" x14ac:dyDescent="0.25">
      <c r="A2" s="2" t="s">
        <v>12</v>
      </c>
      <c r="B2" s="2" t="s">
        <v>29</v>
      </c>
      <c r="C2" s="2">
        <v>625</v>
      </c>
      <c r="D2" s="2"/>
      <c r="E2" s="2"/>
      <c r="F2" s="2"/>
      <c r="G2" s="2"/>
      <c r="H2" s="2"/>
      <c r="I2" s="2"/>
      <c r="J2" s="3"/>
      <c r="K2" s="3"/>
    </row>
    <row r="3" spans="1:11" ht="20.25" x14ac:dyDescent="0.25">
      <c r="A3" s="2" t="s">
        <v>15</v>
      </c>
      <c r="B3" s="2" t="s">
        <v>30</v>
      </c>
      <c r="C3" s="2">
        <v>375</v>
      </c>
      <c r="D3" s="2"/>
      <c r="E3" s="2"/>
      <c r="F3" s="2"/>
      <c r="G3" s="2"/>
      <c r="H3" s="2"/>
      <c r="I3" s="2"/>
      <c r="J3" s="3"/>
      <c r="K3" s="3"/>
    </row>
    <row r="4" spans="1:11" ht="20.25" x14ac:dyDescent="0.25">
      <c r="A4" s="2" t="s">
        <v>22</v>
      </c>
      <c r="B4" s="2" t="s">
        <v>31</v>
      </c>
      <c r="C4" s="2">
        <v>800</v>
      </c>
      <c r="D4" s="2"/>
      <c r="E4" s="2"/>
      <c r="F4" s="2"/>
      <c r="G4" s="2"/>
      <c r="H4" s="2"/>
      <c r="I4" s="2"/>
      <c r="J4" s="3"/>
      <c r="K4" s="3"/>
    </row>
    <row r="5" spans="1:11" ht="20.25" x14ac:dyDescent="0.25">
      <c r="A5" s="2" t="s">
        <v>23</v>
      </c>
      <c r="B5" s="2" t="s">
        <v>32</v>
      </c>
      <c r="C5" s="2">
        <v>800</v>
      </c>
      <c r="D5" s="2"/>
      <c r="E5" s="2"/>
      <c r="F5" s="2"/>
      <c r="G5" s="2"/>
      <c r="H5" s="2"/>
      <c r="I5" s="2"/>
      <c r="J5" s="3"/>
      <c r="K5" s="3"/>
    </row>
    <row r="6" spans="1:11" ht="20.25" x14ac:dyDescent="0.25">
      <c r="A6" s="2" t="s">
        <v>25</v>
      </c>
      <c r="B6" s="2" t="s">
        <v>33</v>
      </c>
      <c r="C6" s="2">
        <v>250</v>
      </c>
      <c r="D6" s="2"/>
      <c r="E6" s="2"/>
      <c r="F6" s="2"/>
      <c r="G6" s="2"/>
      <c r="H6" s="2"/>
      <c r="I6" s="2"/>
      <c r="J6" s="3"/>
      <c r="K6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B97A-13A1-45F4-8EB3-5CB1E61C71B8}">
  <dimension ref="A1:F6"/>
  <sheetViews>
    <sheetView tabSelected="1" zoomScale="140" zoomScaleNormal="140" workbookViewId="0">
      <selection activeCell="D6" sqref="D6"/>
    </sheetView>
  </sheetViews>
  <sheetFormatPr defaultRowHeight="15" x14ac:dyDescent="0.25"/>
  <cols>
    <col min="1" max="1" width="10.7109375" customWidth="1"/>
    <col min="2" max="2" width="14.140625" style="8" customWidth="1"/>
    <col min="3" max="3" width="21.140625" style="7" customWidth="1"/>
    <col min="4" max="4" width="22.7109375" customWidth="1"/>
  </cols>
  <sheetData>
    <row r="1" spans="1:6" s="4" customFormat="1" x14ac:dyDescent="0.25">
      <c r="A1" s="4" t="s">
        <v>0</v>
      </c>
      <c r="B1" s="17" t="s">
        <v>48</v>
      </c>
      <c r="C1" s="16" t="s">
        <v>49</v>
      </c>
      <c r="D1" s="4" t="s">
        <v>50</v>
      </c>
    </row>
    <row r="2" spans="1:6" x14ac:dyDescent="0.25">
      <c r="A2" t="s">
        <v>12</v>
      </c>
      <c r="B2" s="8">
        <f>SUMIFS(fact_producao!$H:$H, fact_producao!$D:$D, A2) / SUMIFS(fact_producao!$G:$G, fact_producao!$D:$D, A2)</f>
        <v>9.2783505154639175E-3</v>
      </c>
      <c r="C2" s="7">
        <f>SUMIFS(fact_producao!$G:$G, fact_producao!$D:$D, A2) / SUMIFS(fact_producao!$F:$F, fact_producao!$D:$D, A2)</f>
        <v>0.97</v>
      </c>
      <c r="D2">
        <f>IFERROR(SUMIFS(fact_paradas!$C:$C, fact_paradas!$B:$B, A2) / COUNTIF(fact_paradas!$B:$B, A2), 0)</f>
        <v>15</v>
      </c>
    </row>
    <row r="3" spans="1:6" x14ac:dyDescent="0.25">
      <c r="A3" t="s">
        <v>15</v>
      </c>
      <c r="B3" s="8">
        <f>SUMIFS(fact_producao!$H:$H, fact_producao!$D:$D, A3) / SUMIFS(fact_producao!$G:$G, fact_producao!$D:$D, A3)</f>
        <v>3.3557046979865771E-3</v>
      </c>
      <c r="C3" s="7">
        <f>SUMIFS(fact_producao!$G:$G, fact_producao!$D:$D, A3) / SUMIFS(fact_producao!$F:$F, fact_producao!$D:$D, A3)</f>
        <v>0.99333333333333329</v>
      </c>
      <c r="D3">
        <f>IFERROR(SUMIFS(fact_paradas!$C:$C, fact_paradas!$B:$B, A3) / COUNTIF(fact_paradas!$B:$B, A3), 0)</f>
        <v>0</v>
      </c>
    </row>
    <row r="4" spans="1:6" x14ac:dyDescent="0.25">
      <c r="A4" t="s">
        <v>22</v>
      </c>
      <c r="B4" s="8">
        <f>SUMIFS(fact_producao!$H:$H, fact_producao!$D:$D, A4) / SUMIFS(fact_producao!$G:$G, fact_producao!$D:$D, A4)</f>
        <v>6.3291139240506328E-3</v>
      </c>
      <c r="C4" s="7">
        <f>SUMIFS(fact_producao!$G:$G, fact_producao!$D:$D, A4) / SUMIFS(fact_producao!$F:$F, fact_producao!$D:$D, A4)</f>
        <v>0.98750000000000004</v>
      </c>
      <c r="D4">
        <f>IFERROR(SUMIFS(fact_paradas!$C:$C, fact_paradas!$B:$B, A4) / COUNTIF(fact_paradas!$B:$B, A4), 0)</f>
        <v>0</v>
      </c>
    </row>
    <row r="5" spans="1:6" x14ac:dyDescent="0.25">
      <c r="A5" t="s">
        <v>23</v>
      </c>
      <c r="B5" s="8">
        <f>SUMIFS(fact_producao!$H:$H, fact_producao!$D:$D, A5) / SUMIFS(fact_producao!$G:$G, fact_producao!$D:$D, A5)</f>
        <v>8.6206896551724137E-3</v>
      </c>
      <c r="C5" s="7">
        <f>SUMIFS(fact_producao!$G:$G, fact_producao!$D:$D, A5) / SUMIFS(fact_producao!$F:$F, fact_producao!$D:$D, A5)</f>
        <v>0.96666666666666667</v>
      </c>
      <c r="D5">
        <f>IFERROR(SUMIFS(fact_paradas!$C:$C, fact_paradas!$B:$B, A5) / COUNTIF(fact_paradas!$B:$B, A5), 0)</f>
        <v>20</v>
      </c>
      <c r="F5" s="6"/>
    </row>
    <row r="6" spans="1:6" x14ac:dyDescent="0.25">
      <c r="A6" t="s">
        <v>25</v>
      </c>
      <c r="B6" s="8">
        <f>SUMIFS(fact_producao!$H:$H, fact_producao!$D:$D, A6) / SUMIFS(fact_producao!$G:$G, fact_producao!$D:$D, A6)</f>
        <v>1.0050251256281408E-3</v>
      </c>
      <c r="C6" s="7">
        <f>SUMIFS(fact_producao!$G:$G, fact_producao!$D:$D, A6) / SUMIFS(fact_producao!$F:$F, fact_producao!$D:$D, A6)</f>
        <v>0.995</v>
      </c>
      <c r="D6">
        <f>IFERROR(SUMIFS(fact_paradas!$C:$C, fact_paradas!$B:$B, A6) / COUNTIF(fact_paradas!$B:$B, A6), 0)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F323-3093-4ED1-AE3B-01E9A7FE4848}">
  <dimension ref="A1:AB11"/>
  <sheetViews>
    <sheetView zoomScale="58" zoomScaleNormal="58" workbookViewId="0">
      <selection activeCell="N1" sqref="N1:N1048576"/>
    </sheetView>
  </sheetViews>
  <sheetFormatPr defaultRowHeight="15" x14ac:dyDescent="0.25"/>
  <cols>
    <col min="1" max="1" width="28.85546875" bestFit="1" customWidth="1"/>
    <col min="2" max="2" width="22.140625" bestFit="1" customWidth="1"/>
    <col min="3" max="3" width="4.42578125" customWidth="1"/>
    <col min="4" max="4" width="27.28515625" bestFit="1" customWidth="1"/>
    <col min="5" max="5" width="18" style="37" bestFit="1" customWidth="1"/>
    <col min="6" max="6" width="4.42578125" customWidth="1"/>
    <col min="7" max="7" width="30.5703125" bestFit="1" customWidth="1"/>
    <col min="8" max="8" width="31" bestFit="1" customWidth="1"/>
    <col min="9" max="9" width="39" bestFit="1" customWidth="1"/>
    <col min="10" max="10" width="2.5703125" customWidth="1"/>
    <col min="11" max="11" width="19.7109375" bestFit="1" customWidth="1"/>
    <col min="12" max="12" width="29.7109375" style="18" bestFit="1" customWidth="1"/>
    <col min="13" max="13" width="32.85546875" style="7" bestFit="1" customWidth="1"/>
    <col min="14" max="14" width="32.85546875" bestFit="1" customWidth="1"/>
    <col min="26" max="26" width="9.140625" style="9"/>
    <col min="27" max="27" width="9.140625" style="18"/>
  </cols>
  <sheetData>
    <row r="1" spans="1:28" s="11" customFormat="1" ht="52.5" x14ac:dyDescent="0.9">
      <c r="A1" s="11" t="s">
        <v>43</v>
      </c>
      <c r="E1" s="36"/>
      <c r="L1" s="35"/>
      <c r="M1" s="19"/>
      <c r="Z1" s="20"/>
      <c r="AA1" s="35"/>
    </row>
    <row r="3" spans="1:28" ht="25.5" x14ac:dyDescent="0.5">
      <c r="A3" s="25" t="s">
        <v>46</v>
      </c>
      <c r="B3" s="22" t="s">
        <v>45</v>
      </c>
      <c r="C3" s="26"/>
      <c r="D3" s="25" t="s">
        <v>46</v>
      </c>
      <c r="E3" s="29" t="s">
        <v>47</v>
      </c>
      <c r="G3" s="25" t="s">
        <v>46</v>
      </c>
      <c r="H3" s="25" t="s">
        <v>11</v>
      </c>
      <c r="I3" s="22" t="s">
        <v>44</v>
      </c>
      <c r="K3" s="30" t="s">
        <v>48</v>
      </c>
      <c r="L3" s="31" t="s">
        <v>49</v>
      </c>
      <c r="M3" s="23" t="s">
        <v>50</v>
      </c>
      <c r="O3" s="13"/>
      <c r="P3" s="12"/>
      <c r="Z3" s="8" cm="1">
        <f t="array" ref="Z3:AB3">K4:M4</f>
        <v>2.858888391830168E-2</v>
      </c>
      <c r="AA3" s="18">
        <v>4.9125000000000005</v>
      </c>
      <c r="AB3">
        <v>35</v>
      </c>
    </row>
    <row r="4" spans="1:28" ht="25.5" x14ac:dyDescent="0.5">
      <c r="A4" s="22" t="s">
        <v>33</v>
      </c>
      <c r="B4" s="27">
        <v>1990</v>
      </c>
      <c r="C4" s="26"/>
      <c r="D4" s="28" t="s">
        <v>33</v>
      </c>
      <c r="E4" s="34">
        <v>2</v>
      </c>
      <c r="G4" s="22" t="s">
        <v>12</v>
      </c>
      <c r="H4" s="22" t="s">
        <v>14</v>
      </c>
      <c r="I4" s="34">
        <v>15</v>
      </c>
      <c r="K4" s="32">
        <v>2.858888391830168E-2</v>
      </c>
      <c r="L4" s="33">
        <v>4.9125000000000005</v>
      </c>
      <c r="M4" s="24">
        <v>35</v>
      </c>
      <c r="O4" s="12"/>
      <c r="P4" s="14"/>
      <c r="Z4" s="5"/>
    </row>
    <row r="5" spans="1:28" ht="25.5" x14ac:dyDescent="0.5">
      <c r="A5" s="22" t="s">
        <v>29</v>
      </c>
      <c r="B5" s="29">
        <v>4850</v>
      </c>
      <c r="C5" s="26"/>
      <c r="D5" s="28" t="s">
        <v>29</v>
      </c>
      <c r="E5" s="34">
        <v>45</v>
      </c>
      <c r="G5" s="22" t="s">
        <v>23</v>
      </c>
      <c r="H5" s="22" t="s">
        <v>20</v>
      </c>
      <c r="I5" s="34">
        <v>20</v>
      </c>
      <c r="L5" s="6"/>
      <c r="M5"/>
      <c r="O5" s="14"/>
      <c r="P5" s="14"/>
      <c r="Z5" s="5"/>
    </row>
    <row r="6" spans="1:28" ht="25.5" x14ac:dyDescent="0.5">
      <c r="A6" s="22" t="s">
        <v>30</v>
      </c>
      <c r="B6" s="29">
        <v>2980</v>
      </c>
      <c r="C6" s="26"/>
      <c r="D6" s="28" t="s">
        <v>30</v>
      </c>
      <c r="E6" s="34">
        <v>10</v>
      </c>
      <c r="G6" s="22" t="s">
        <v>42</v>
      </c>
      <c r="H6" s="22"/>
      <c r="I6" s="34">
        <v>35</v>
      </c>
      <c r="L6" s="6"/>
      <c r="M6"/>
      <c r="O6" s="13"/>
      <c r="P6" s="12"/>
      <c r="Z6" s="5"/>
    </row>
    <row r="7" spans="1:28" ht="25.5" x14ac:dyDescent="0.5">
      <c r="A7" s="22" t="s">
        <v>31</v>
      </c>
      <c r="B7" s="29">
        <v>3950</v>
      </c>
      <c r="C7" s="26"/>
      <c r="D7" s="28" t="s">
        <v>31</v>
      </c>
      <c r="E7" s="34">
        <v>25</v>
      </c>
      <c r="L7" s="6"/>
      <c r="M7"/>
      <c r="O7" s="13"/>
      <c r="P7" s="14"/>
      <c r="Z7" s="5"/>
    </row>
    <row r="8" spans="1:28" ht="25.5" x14ac:dyDescent="0.5">
      <c r="A8" s="22" t="s">
        <v>32</v>
      </c>
      <c r="B8" s="29">
        <v>5800</v>
      </c>
      <c r="C8" s="26"/>
      <c r="D8" s="28" t="s">
        <v>32</v>
      </c>
      <c r="E8" s="34">
        <v>50</v>
      </c>
      <c r="L8" s="6"/>
      <c r="M8"/>
      <c r="O8" s="13"/>
      <c r="P8" s="14"/>
    </row>
    <row r="9" spans="1:28" ht="25.5" x14ac:dyDescent="0.5">
      <c r="A9" s="22" t="s">
        <v>42</v>
      </c>
      <c r="B9" s="29">
        <v>19570</v>
      </c>
      <c r="C9" s="26"/>
      <c r="D9" s="28" t="s">
        <v>42</v>
      </c>
      <c r="E9" s="34">
        <v>132</v>
      </c>
      <c r="M9" s="21"/>
      <c r="N9" s="13"/>
      <c r="O9" s="13"/>
      <c r="P9" s="14"/>
    </row>
    <row r="10" spans="1:28" ht="21" x14ac:dyDescent="0.35">
      <c r="M10" s="21"/>
      <c r="N10" s="13"/>
      <c r="O10" s="14"/>
    </row>
    <row r="11" spans="1:28" ht="21" x14ac:dyDescent="0.35">
      <c r="M11" s="21"/>
      <c r="N11" s="13"/>
      <c r="O11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B803-B6C2-4BBF-9F97-BB9D895AFAD7}">
  <dimension ref="A1"/>
  <sheetViews>
    <sheetView showGridLines="0" zoomScale="60" zoomScaleNormal="60" workbookViewId="0">
      <selection activeCell="M11" sqref="M11"/>
    </sheetView>
  </sheetViews>
  <sheetFormatPr defaultRowHeight="15" x14ac:dyDescent="0.25"/>
  <cols>
    <col min="1" max="1" width="8.28515625" style="15" customWidth="1"/>
    <col min="2" max="2" width="16" style="15" customWidth="1"/>
    <col min="3" max="16384" width="9.140625" style="15"/>
  </cols>
  <sheetData>
    <row r="1" spans="1:1" x14ac:dyDescent="0.25">
      <c r="A1" s="15" t="e" vm="1">
        <v>#VALUE!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23BDF-1209-43A4-A619-752273E164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fact_producao</vt:lpstr>
      <vt:lpstr>fact_paradas</vt:lpstr>
      <vt:lpstr>dim_Paradas</vt:lpstr>
      <vt:lpstr>dim_Linhas</vt:lpstr>
      <vt:lpstr>KPIs_Calculados</vt:lpstr>
      <vt:lpstr>ANALISES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IZIDORO VIEIRA DOS PASSOS LONTRATO</dc:creator>
  <cp:lastModifiedBy>VINICIUS IZIDORO VIEIRA DOS PASSOS LONTRATO</cp:lastModifiedBy>
  <dcterms:created xsi:type="dcterms:W3CDTF">2026-06-12T03:27:53Z</dcterms:created>
  <dcterms:modified xsi:type="dcterms:W3CDTF">2026-06-16T20:44:31Z</dcterms:modified>
</cp:coreProperties>
</file>